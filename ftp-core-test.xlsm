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/>
  <workbookPr defaultThemeVersion="202300"/>
  <mc:AlternateContent xmlns:mc="http://schemas.openxmlformats.org/markup-compatibility/2006">
    <mc:Choice Requires="x15">
      <x15ac:absPath xmlns:x15ac="http://schemas.microsoft.com/office/spreadsheetml/2010/11/ac" url="Z:\Projects\ftp-calculator\"/>
    </mc:Choice>
  </mc:AlternateContent>
  <xr:revisionPtr revIDLastSave="0" documentId="13_ncr:1_{1114F651-285D-4DEB-8D48-BBD24501DE7A}" xr6:coauthVersionLast="47" xr6:coauthVersionMax="47" xr10:uidLastSave="{00000000-0000-0000-0000-000000000000}"/>
  <bookViews>
    <workbookView xWindow="-28920" yWindow="-120" windowWidth="29040" windowHeight="15990" activeTab="1" xr2:uid="{554EBA7D-C66B-4218-BA28-F31D7AAD45D3}"/>
  </bookViews>
  <sheets>
    <sheet name="Feuille1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2" l="1" a="1"/>
  <c r="H28" i="2" s="1"/>
  <c r="O28" i="2" a="1"/>
  <c r="O28" i="2" s="1"/>
  <c r="Z15" i="1"/>
  <c r="Z14" i="1"/>
  <c r="Z13" i="1"/>
  <c r="B20" i="2" a="1"/>
  <c r="B20" i="2" s="1"/>
  <c r="I20" i="2" a="1"/>
  <c r="AE17" i="2"/>
  <c r="Z17" i="2"/>
  <c r="S17" i="2"/>
  <c r="F17" i="2"/>
  <c r="M17" i="2" s="1"/>
  <c r="E17" i="2"/>
  <c r="D17" i="2"/>
  <c r="C17" i="2"/>
  <c r="B17" i="2"/>
  <c r="F16" i="2"/>
  <c r="M16" i="2" s="1"/>
  <c r="E16" i="2"/>
  <c r="D16" i="2"/>
  <c r="C16" i="2"/>
  <c r="F15" i="2"/>
  <c r="M15" i="2" s="1"/>
  <c r="E15" i="2"/>
  <c r="D15" i="2"/>
  <c r="C15" i="2"/>
  <c r="B15" i="2"/>
  <c r="F14" i="2"/>
  <c r="M14" i="2" s="1"/>
  <c r="E14" i="2"/>
  <c r="D14" i="2"/>
  <c r="C14" i="2"/>
  <c r="B14" i="2"/>
  <c r="F13" i="2"/>
  <c r="M13" i="2" s="1"/>
  <c r="E13" i="2"/>
  <c r="L13" i="2" s="1"/>
  <c r="D13" i="2"/>
  <c r="K13" i="2" s="1"/>
  <c r="C13" i="2"/>
  <c r="J13" i="2" s="1"/>
  <c r="B13" i="2"/>
  <c r="I13" i="2" s="1"/>
  <c r="I39" i="1"/>
  <c r="F39" i="1"/>
  <c r="E39" i="1"/>
  <c r="F47" i="1" s="1"/>
  <c r="D39" i="1"/>
  <c r="E47" i="1" s="1"/>
  <c r="C39" i="1"/>
  <c r="D47" i="1" s="1"/>
  <c r="B39" i="1"/>
  <c r="C47" i="1" s="1"/>
  <c r="F25" i="1"/>
  <c r="E25" i="1"/>
  <c r="D25" i="1"/>
  <c r="C25" i="1"/>
  <c r="F24" i="1"/>
  <c r="E24" i="1"/>
  <c r="D24" i="1"/>
  <c r="C24" i="1"/>
  <c r="F23" i="1"/>
  <c r="E23" i="1"/>
  <c r="D23" i="1"/>
  <c r="C23" i="1"/>
  <c r="F22" i="1"/>
  <c r="E22" i="1"/>
  <c r="D22" i="1"/>
  <c r="C22" i="1"/>
  <c r="F21" i="1"/>
  <c r="AD6" i="1" s="1"/>
  <c r="E21" i="1"/>
  <c r="AB6" i="1" s="1"/>
  <c r="F17" i="1"/>
  <c r="M17" i="1" s="1"/>
  <c r="E17" i="1"/>
  <c r="D17" i="1"/>
  <c r="C17" i="1"/>
  <c r="B17" i="1"/>
  <c r="F16" i="1"/>
  <c r="M16" i="1" s="1"/>
  <c r="E16" i="1"/>
  <c r="D16" i="1"/>
  <c r="C16" i="1"/>
  <c r="F15" i="1"/>
  <c r="E15" i="1"/>
  <c r="D15" i="1"/>
  <c r="C15" i="1"/>
  <c r="B15" i="1"/>
  <c r="F14" i="1"/>
  <c r="M14" i="1" s="1"/>
  <c r="E14" i="1"/>
  <c r="D14" i="1"/>
  <c r="C14" i="1"/>
  <c r="B14" i="1"/>
  <c r="F13" i="1"/>
  <c r="M13" i="1" s="1"/>
  <c r="E13" i="1"/>
  <c r="L13" i="1" s="1"/>
  <c r="M21" i="1" s="1"/>
  <c r="D13" i="1"/>
  <c r="K13" i="1" s="1"/>
  <c r="L21" i="1" s="1"/>
  <c r="C13" i="1"/>
  <c r="B13" i="1"/>
  <c r="I20" i="2" l="1"/>
  <c r="R17" i="2"/>
  <c r="AE16" i="2"/>
  <c r="Z16" i="2" s="1"/>
  <c r="AD17" i="2" s="1"/>
  <c r="Y17" i="2" s="1"/>
  <c r="S16" i="2"/>
  <c r="R16" i="2"/>
  <c r="Q16" i="2"/>
  <c r="P16" i="2"/>
  <c r="AD13" i="2"/>
  <c r="AE15" i="2"/>
  <c r="Z15" i="2" s="1"/>
  <c r="AD16" i="2" s="1"/>
  <c r="Y16" i="2" s="1"/>
  <c r="AC17" i="2" s="1"/>
  <c r="X17" i="2" s="1"/>
  <c r="S15" i="2"/>
  <c r="R15" i="2"/>
  <c r="Q15" i="2"/>
  <c r="P15" i="2"/>
  <c r="AE14" i="2"/>
  <c r="Z14" i="2" s="1"/>
  <c r="AD15" i="2" s="1"/>
  <c r="AC13" i="2"/>
  <c r="S13" i="2"/>
  <c r="S14" i="2"/>
  <c r="R14" i="2"/>
  <c r="Q14" i="2"/>
  <c r="P14" i="2"/>
  <c r="AE13" i="2"/>
  <c r="Z13" i="2" s="1"/>
  <c r="AD14" i="2" s="1"/>
  <c r="Y14" i="2" s="1"/>
  <c r="AC15" i="2" s="1"/>
  <c r="AB13" i="2"/>
  <c r="R13" i="2"/>
  <c r="Q13" i="2"/>
  <c r="Q17" i="2"/>
  <c r="P17" i="2"/>
  <c r="L17" i="2"/>
  <c r="L16" i="2"/>
  <c r="K17" i="2" s="1"/>
  <c r="L15" i="2"/>
  <c r="K16" i="2" s="1"/>
  <c r="J17" i="2" s="1"/>
  <c r="L14" i="2"/>
  <c r="K15" i="2" s="1"/>
  <c r="J16" i="2" s="1"/>
  <c r="I17" i="2" s="1"/>
  <c r="K14" i="2"/>
  <c r="J15" i="2" s="1"/>
  <c r="I16" i="2" s="1"/>
  <c r="J14" i="2"/>
  <c r="I15" i="2" s="1"/>
  <c r="I14" i="2"/>
  <c r="L17" i="1"/>
  <c r="M25" i="1" s="1"/>
  <c r="AE17" i="1" s="1"/>
  <c r="Z17" i="1" s="1"/>
  <c r="Y22" i="1"/>
  <c r="Y20" i="1"/>
  <c r="J13" i="1"/>
  <c r="K21" i="1" s="1"/>
  <c r="D21" i="1"/>
  <c r="I13" i="1"/>
  <c r="J21" i="1" s="1"/>
  <c r="C21" i="1"/>
  <c r="M39" i="1"/>
  <c r="L39" i="1"/>
  <c r="M47" i="1" s="1"/>
  <c r="S39" i="1" s="1"/>
  <c r="K39" i="1"/>
  <c r="L47" i="1" s="1"/>
  <c r="R39" i="1" s="1"/>
  <c r="J39" i="1"/>
  <c r="J47" i="1" s="1"/>
  <c r="F28" i="1"/>
  <c r="M15" i="1"/>
  <c r="L16" i="1" s="1"/>
  <c r="E28" i="1"/>
  <c r="L15" i="1"/>
  <c r="D28" i="1"/>
  <c r="C28" i="1"/>
  <c r="B28" i="1"/>
  <c r="AE13" i="1"/>
  <c r="R21" i="1"/>
  <c r="AD13" i="1"/>
  <c r="Y13" i="1" s="1"/>
  <c r="AB5" i="1" s="1"/>
  <c r="R13" i="1"/>
  <c r="Q21" i="1"/>
  <c r="AC13" i="1"/>
  <c r="X13" i="1" s="1"/>
  <c r="Q13" i="1"/>
  <c r="P21" i="1"/>
  <c r="AB13" i="1"/>
  <c r="W13" i="1" s="1"/>
  <c r="P13" i="1"/>
  <c r="L14" i="1"/>
  <c r="K14" i="1"/>
  <c r="J15" i="1" s="1"/>
  <c r="J14" i="1"/>
  <c r="I14" i="1"/>
  <c r="J22" i="1" s="1"/>
  <c r="Y15" i="2" l="1"/>
  <c r="Y13" i="2"/>
  <c r="X15" i="2"/>
  <c r="AC16" i="2"/>
  <c r="X16" i="2" s="1"/>
  <c r="AB17" i="2" s="1"/>
  <c r="W17" i="2" s="1"/>
  <c r="I40" i="1"/>
  <c r="K47" i="1"/>
  <c r="K17" i="1"/>
  <c r="L25" i="1" s="1"/>
  <c r="M24" i="1"/>
  <c r="F30" i="1"/>
  <c r="M28" i="1" s="1"/>
  <c r="E32" i="1"/>
  <c r="K16" i="1"/>
  <c r="M23" i="1"/>
  <c r="E30" i="1"/>
  <c r="L28" i="1" s="1"/>
  <c r="D32" i="1"/>
  <c r="I16" i="1"/>
  <c r="D30" i="1"/>
  <c r="C32" i="1"/>
  <c r="C30" i="1"/>
  <c r="B32" i="1"/>
  <c r="AA5" i="1"/>
  <c r="AD5" i="1"/>
  <c r="F32" i="1"/>
  <c r="L22" i="1"/>
  <c r="S13" i="1"/>
  <c r="S21" i="1"/>
  <c r="M22" i="1"/>
  <c r="K15" i="1"/>
  <c r="K23" i="1" s="1"/>
  <c r="K22" i="1"/>
  <c r="I15" i="1"/>
  <c r="J23" i="1" s="1"/>
  <c r="X13" i="2" l="1"/>
  <c r="AC14" i="2"/>
  <c r="X14" i="2" s="1"/>
  <c r="AB15" i="2" s="1"/>
  <c r="W15" i="2" s="1"/>
  <c r="AB16" i="2"/>
  <c r="W16" i="2" s="1"/>
  <c r="K28" i="1"/>
  <c r="J28" i="1"/>
  <c r="J40" i="1"/>
  <c r="K40" i="1"/>
  <c r="L40" i="1"/>
  <c r="M40" i="1"/>
  <c r="F40" i="1" s="1"/>
  <c r="J48" i="1"/>
  <c r="B40" i="1"/>
  <c r="P39" i="1"/>
  <c r="Q39" i="1"/>
  <c r="R25" i="1"/>
  <c r="R17" i="1"/>
  <c r="J17" i="1"/>
  <c r="K25" i="1" s="1"/>
  <c r="L24" i="1"/>
  <c r="AE15" i="1"/>
  <c r="Q15" i="1"/>
  <c r="Q23" i="1"/>
  <c r="R22" i="1"/>
  <c r="AD7" i="1"/>
  <c r="R14" i="1"/>
  <c r="AD4" i="1"/>
  <c r="AB7" i="1"/>
  <c r="AD14" i="1"/>
  <c r="AE14" i="1"/>
  <c r="Y21" i="1" s="1"/>
  <c r="L23" i="1"/>
  <c r="J16" i="1"/>
  <c r="Q22" i="1"/>
  <c r="Q14" i="1"/>
  <c r="AC14" i="1"/>
  <c r="P15" i="1"/>
  <c r="P23" i="1"/>
  <c r="AE16" i="1"/>
  <c r="Z16" i="1" s="1"/>
  <c r="AD17" i="1" s="1"/>
  <c r="Y17" i="1" s="1"/>
  <c r="AB14" i="1"/>
  <c r="P14" i="1"/>
  <c r="P22" i="1"/>
  <c r="W13" i="2" l="1"/>
  <c r="AB14" i="2"/>
  <c r="W14" i="2" s="1"/>
  <c r="S22" i="1"/>
  <c r="S14" i="1"/>
  <c r="K48" i="1"/>
  <c r="I41" i="1"/>
  <c r="C40" i="1"/>
  <c r="L48" i="1"/>
  <c r="R40" i="1" s="1"/>
  <c r="D40" i="1"/>
  <c r="M48" i="1"/>
  <c r="S40" i="1" s="1"/>
  <c r="E40" i="1"/>
  <c r="F48" i="1" s="1"/>
  <c r="Q17" i="1"/>
  <c r="Q25" i="1"/>
  <c r="R24" i="1"/>
  <c r="R16" i="1"/>
  <c r="AD16" i="1"/>
  <c r="Y16" i="1" s="1"/>
  <c r="AC17" i="1" s="1"/>
  <c r="X17" i="1" s="1"/>
  <c r="Y19" i="1"/>
  <c r="Y14" i="1"/>
  <c r="R23" i="1"/>
  <c r="AD15" i="1"/>
  <c r="Y15" i="1" s="1"/>
  <c r="R15" i="1"/>
  <c r="J24" i="1"/>
  <c r="I17" i="1"/>
  <c r="J25" i="1" s="1"/>
  <c r="K24" i="1"/>
  <c r="S23" i="1"/>
  <c r="S15" i="1"/>
  <c r="P40" i="1" l="1"/>
  <c r="Q40" i="1"/>
  <c r="L41" i="1"/>
  <c r="K41" i="1"/>
  <c r="B41" i="1"/>
  <c r="J41" i="1"/>
  <c r="J49" i="1" s="1"/>
  <c r="M41" i="1"/>
  <c r="F41" i="1" s="1"/>
  <c r="C48" i="1"/>
  <c r="D48" i="1"/>
  <c r="AC15" i="1"/>
  <c r="X15" i="1" s="1"/>
  <c r="AB16" i="1" s="1"/>
  <c r="X14" i="1"/>
  <c r="P16" i="1"/>
  <c r="P24" i="1"/>
  <c r="P17" i="1"/>
  <c r="P25" i="1"/>
  <c r="Q24" i="1"/>
  <c r="Q16" i="1"/>
  <c r="AC16" i="1"/>
  <c r="X16" i="1" s="1"/>
  <c r="AB17" i="1" s="1"/>
  <c r="W17" i="1" s="1"/>
  <c r="E48" i="1"/>
  <c r="W16" i="1" l="1"/>
  <c r="E41" i="1"/>
  <c r="F49" i="1" s="1"/>
  <c r="M49" i="1"/>
  <c r="S41" i="1" s="1"/>
  <c r="D41" i="1"/>
  <c r="L49" i="1"/>
  <c r="R41" i="1" s="1"/>
  <c r="I42" i="1"/>
  <c r="C41" i="1"/>
  <c r="K49" i="1"/>
  <c r="W14" i="1"/>
  <c r="AB15" i="1"/>
  <c r="W15" i="1" s="1"/>
  <c r="S16" i="1"/>
  <c r="S24" i="1"/>
  <c r="S17" i="1"/>
  <c r="S25" i="1"/>
  <c r="J42" i="1" l="1"/>
  <c r="J50" i="1" s="1"/>
  <c r="K42" i="1"/>
  <c r="L42" i="1"/>
  <c r="M42" i="1"/>
  <c r="F42" i="1" s="1"/>
  <c r="B42" i="1"/>
  <c r="C49" i="1"/>
  <c r="D49" i="1"/>
  <c r="P41" i="1"/>
  <c r="Q41" i="1"/>
  <c r="E49" i="1"/>
  <c r="I43" i="1" l="1"/>
  <c r="K50" i="1"/>
  <c r="C42" i="1"/>
  <c r="D42" i="1"/>
  <c r="L50" i="1"/>
  <c r="M50" i="1"/>
  <c r="S42" i="1" s="1"/>
  <c r="E42" i="1"/>
  <c r="F50" i="1" s="1"/>
  <c r="J43" i="1" l="1"/>
  <c r="J51" i="1" s="1"/>
  <c r="K43" i="1"/>
  <c r="L43" i="1"/>
  <c r="M43" i="1"/>
  <c r="F43" i="1" s="1"/>
  <c r="B43" i="1"/>
  <c r="P42" i="1"/>
  <c r="Q42" i="1"/>
  <c r="C50" i="1"/>
  <c r="D50" i="1"/>
  <c r="E50" i="1"/>
  <c r="R42" i="1"/>
  <c r="K51" i="1" l="1"/>
  <c r="C43" i="1"/>
  <c r="L51" i="1"/>
  <c r="R43" i="1" s="1"/>
  <c r="D43" i="1"/>
  <c r="M51" i="1"/>
  <c r="S43" i="1" s="1"/>
  <c r="E43" i="1"/>
  <c r="F51" i="1" s="1"/>
  <c r="P43" i="1" l="1"/>
  <c r="Q43" i="1"/>
  <c r="C51" i="1"/>
  <c r="D51" i="1"/>
  <c r="E5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<sst xmlns="http://schemas.openxmlformats.org/spreadsheetml/2006/main" count="289" uniqueCount="44">
  <si>
    <t>stock target</t>
  </si>
  <si>
    <t>Outs</t>
  </si>
  <si>
    <t>Profile</t>
  </si>
  <si>
    <t>Rate</t>
  </si>
  <si>
    <t>P0</t>
  </si>
  <si>
    <t>P1</t>
  </si>
  <si>
    <t>P2</t>
  </si>
  <si>
    <t>P3</t>
  </si>
  <si>
    <t>P4</t>
  </si>
  <si>
    <t>M0</t>
  </si>
  <si>
    <t>M1</t>
  </si>
  <si>
    <t>M2</t>
  </si>
  <si>
    <t>denom2</t>
  </si>
  <si>
    <t>M3</t>
  </si>
  <si>
    <t>denom1</t>
  </si>
  <si>
    <t>M4</t>
  </si>
  <si>
    <t>stock amort</t>
  </si>
  <si>
    <t>stock var</t>
  </si>
  <si>
    <t>ftp rate</t>
  </si>
  <si>
    <t>market rate</t>
  </si>
  <si>
    <t>ftp rate computation methode 2</t>
  </si>
  <si>
    <t>stock install</t>
  </si>
  <si>
    <t>stock var installment</t>
  </si>
  <si>
    <t>ftp int</t>
  </si>
  <si>
    <t>j</t>
  </si>
  <si>
    <t>given row</t>
  </si>
  <si>
    <t>ftp</t>
  </si>
  <si>
    <t>mrate</t>
  </si>
  <si>
    <t>market</t>
  </si>
  <si>
    <t>reprise</t>
  </si>
  <si>
    <t>new prod</t>
  </si>
  <si>
    <t>il semble yavoir une sortie de stock exeptionelle, faites attention</t>
  </si>
  <si>
    <t>new prod installment</t>
  </si>
  <si>
    <t>2,0</t>
  </si>
  <si>
    <t>1,1</t>
  </si>
  <si>
    <t>0,2</t>
  </si>
  <si>
    <t>3,2</t>
  </si>
  <si>
    <t>2,3</t>
  </si>
  <si>
    <t>1,4</t>
  </si>
  <si>
    <t>1,3</t>
  </si>
  <si>
    <t>0,4</t>
  </si>
  <si>
    <t xml:space="preserve"> </t>
  </si>
  <si>
    <t>\</t>
  </si>
  <si>
    <t>#ERR: Unable to cast object of type 'ExcelDna.Integration.ExcelMissing' to type 'System.IConvertible'.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</si>
</sst>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&quot; &quot;%"/>
    <numFmt numFmtId="165" formatCode="#,##0.0"/>
    <numFmt numFmtId="166" formatCode="0.000"/>
    <numFmt numFmtId="167" formatCode="0.00000"/>
    <numFmt numFmtId="168" formatCode="0.00&quot; &quot;%"/>
    <numFmt numFmtId="169" formatCode="0.0000%"/>
  </numFmts>
  <fonts count="16">
    <font>
      <sz val="10"/>
      <color theme="1"/>
      <name val="Liberation Sans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u/>
      <sz val="10"/>
      <color theme="1"/>
      <name val="Liberation Sans"/>
    </font>
    <font>
      <sz val="10"/>
      <color rgb="FFC9211E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D4EA6B"/>
        <bgColor rgb="FFD4EA6B"/>
      </patternFill>
    </fill>
    <fill>
      <patternFill patternType="solid">
        <fgColor rgb="FFFFFF6D"/>
        <bgColor rgb="FFFFFF6D"/>
      </patternFill>
    </fill>
    <fill>
      <patternFill patternType="solid">
        <fgColor rgb="FFAFD095"/>
        <bgColor rgb="FFAFD095"/>
      </patternFill>
    </fill>
    <fill>
      <patternFill patternType="solid">
        <fgColor rgb="FFF6F9D4"/>
        <bgColor rgb="FFF6F9D4"/>
      </patternFill>
    </fill>
    <fill>
      <patternFill patternType="solid">
        <fgColor rgb="FFF7D1D5"/>
        <bgColor rgb="FFF7D1D5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0">
    <xf numFmtId="0" fontId="0" fillId="0" borderId="0"/>
    <xf numFmtId="0" fontId="8" fillId="0" borderId="0"/>
    <xf numFmtId="0" fontId="9" fillId="0" borderId="0"/>
    <xf numFmtId="0" fontId="6" fillId="7" borderId="0"/>
    <xf numFmtId="0" fontId="4" fillId="5" borderId="0"/>
    <xf numFmtId="0" fontId="11" fillId="8" borderId="0"/>
    <xf numFmtId="0" fontId="12" fillId="8" borderId="1"/>
    <xf numFmtId="0" fontId="2" fillId="0" borderId="0"/>
    <xf numFmtId="0" fontId="3" fillId="2" borderId="0"/>
    <xf numFmtId="0" fontId="3" fillId="3" borderId="0"/>
    <xf numFmtId="0" fontId="2" fillId="4" borderId="0"/>
    <xf numFmtId="0" fontId="3" fillId="6" borderId="0"/>
    <xf numFmtId="0" fontId="5" fillId="0" borderId="0"/>
    <xf numFmtId="0" fontId="7" fillId="0" borderId="0"/>
    <xf numFmtId="0" fontId="10" fillId="0" borderId="0"/>
    <xf numFmtId="0" fontId="13" fillId="0" borderId="0"/>
    <xf numFmtId="0" fontId="1" fillId="0" borderId="0"/>
    <xf numFmtId="0" fontId="1" fillId="0" borderId="0"/>
    <xf numFmtId="0" fontId="4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/>
    <xf numFmtId="168" fontId="0" fillId="0" borderId="0" xfId="0" applyNumberFormat="1"/>
    <xf numFmtId="164" fontId="0" fillId="0" borderId="0" xfId="0" applyNumberFormat="1"/>
    <xf numFmtId="164" fontId="0" fillId="4" borderId="0" xfId="0" applyNumberFormat="1" applyFill="1"/>
    <xf numFmtId="164" fontId="0" fillId="9" borderId="0" xfId="0" applyNumberFormat="1" applyFill="1"/>
    <xf numFmtId="0" fontId="0" fillId="0" borderId="0" xfId="0" applyAlignment="1">
      <alignment horizontal="center"/>
    </xf>
    <xf numFmtId="0" fontId="14" fillId="0" borderId="0" xfId="0" applyFont="1"/>
    <xf numFmtId="164" fontId="15" fillId="0" borderId="0" xfId="0" applyNumberFormat="1" applyFont="1"/>
    <xf numFmtId="0" fontId="0" fillId="9" borderId="0" xfId="0" applyFill="1"/>
    <xf numFmtId="4" fontId="0" fillId="0" borderId="0" xfId="0" applyNumberFormat="1"/>
    <xf numFmtId="164" fontId="0" fillId="10" borderId="0" xfId="0" applyNumberFormat="1" applyFill="1"/>
    <xf numFmtId="167" fontId="0" fillId="0" borderId="0" xfId="0" applyNumberFormat="1" applyAlignment="1">
      <alignment horizontal="center"/>
    </xf>
    <xf numFmtId="165" fontId="0" fillId="4" borderId="0" xfId="0" applyNumberFormat="1" applyFill="1"/>
    <xf numFmtId="0" fontId="0" fillId="11" borderId="0" xfId="0" applyFill="1"/>
    <xf numFmtId="165" fontId="0" fillId="0" borderId="0" xfId="0" applyNumberFormat="1"/>
    <xf numFmtId="0" fontId="0" fillId="12" borderId="0" xfId="0" applyFill="1"/>
    <xf numFmtId="165" fontId="0" fillId="13" borderId="0" xfId="0" applyNumberFormat="1" applyFill="1"/>
    <xf numFmtId="0" fontId="0" fillId="4" borderId="0" xfId="0" applyFill="1"/>
    <xf numFmtId="169" fontId="0" fillId="0" borderId="0" xfId="19" applyNumberFormat="1" applyFont="1"/>
  </cellXfs>
  <cellStyles count="20">
    <cellStyle name="Accent" xfId="7" xr:uid="{1D812DB7-F070-4360-B770-59311CDD0F0A}"/>
    <cellStyle name="Accent 1" xfId="8" xr:uid="{E6988084-8E30-45A4-951D-F2A2349CE3A2}"/>
    <cellStyle name="Accent 2" xfId="9" xr:uid="{FD60F6C9-68C8-4C5E-B963-57CC3ECA5329}"/>
    <cellStyle name="Accent 3" xfId="10" xr:uid="{D78CE08D-5156-4CF8-AB26-87377518DC99}"/>
    <cellStyle name="Bad" xfId="4" builtinId="27" customBuiltin="1"/>
    <cellStyle name="Error" xfId="11" xr:uid="{D9105767-F209-410B-9D56-CAFF2F1A2325}"/>
    <cellStyle name="Footnote" xfId="12" xr:uid="{12C276E2-35F9-4670-9A64-284C389ED02F}"/>
    <cellStyle name="Good" xfId="3" builtinId="26" customBuiltin="1"/>
    <cellStyle name="Heading" xfId="13" xr:uid="{2562586E-3C2C-4B76-921E-4D1D89ADC453}"/>
    <cellStyle name="Heading 1" xfId="1" builtinId="16" customBuiltin="1"/>
    <cellStyle name="Heading 2" xfId="2" builtinId="17" customBuiltin="1"/>
    <cellStyle name="Hyperlink" xfId="14" xr:uid="{9221D3A1-6596-4F31-8C78-68575F38C8F3}"/>
    <cellStyle name="Neutral" xfId="5" builtinId="28" customBuiltin="1"/>
    <cellStyle name="Normal" xfId="0" builtinId="0" customBuiltin="1"/>
    <cellStyle name="Note" xfId="6" builtinId="10" customBuiltin="1"/>
    <cellStyle name="Percent" xfId="19" builtinId="5"/>
    <cellStyle name="Result" xfId="15" xr:uid="{B281597E-D088-4A05-933D-A689CF752845}"/>
    <cellStyle name="Status" xfId="16" xr:uid="{5F8B0AF7-BD6B-4A57-B31E-6DEAD70872B1}"/>
    <cellStyle name="Text" xfId="17" xr:uid="{FB54B1C2-AE08-464F-8C9E-24F1FE698C74}"/>
    <cellStyle name="Warning" xfId="18" xr:uid="{349EB3C9-D2C7-4B2B-9E74-B577BD8D950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8BCA-295D-4B9A-94D4-AC06C4A4BAF0}">
  <dimension ref="A1:AF58"/>
  <sheetViews>
    <sheetView topLeftCell="A10" workbookViewId="0">
      <selection activeCell="B28" sqref="B28"/>
    </sheetView>
  </sheetViews>
  <sheetFormatPr defaultRowHeight="12.75"/>
  <cols>
    <col min="1" max="9" width="12.140625" customWidth="1"/>
    <col min="10" max="10" width="14.140625" customWidth="1"/>
    <col min="11" max="20" width="12.140625" customWidth="1"/>
    <col min="21" max="26" width="11.7109375" customWidth="1"/>
    <col min="27" max="32" width="12.140625" customWidth="1"/>
  </cols>
  <sheetData>
    <row r="1" spans="1:32">
      <c r="B1" t="s">
        <v>0</v>
      </c>
    </row>
    <row r="2" spans="1:32">
      <c r="B2" t="s">
        <v>1</v>
      </c>
      <c r="D2" t="s">
        <v>2</v>
      </c>
      <c r="K2" t="s">
        <v>3</v>
      </c>
    </row>
    <row r="3" spans="1:32">
      <c r="E3" t="s">
        <v>4</v>
      </c>
      <c r="F3" t="s">
        <v>5</v>
      </c>
      <c r="G3" t="s">
        <v>6</v>
      </c>
      <c r="H3" t="s">
        <v>7</v>
      </c>
      <c r="I3" t="s">
        <v>8</v>
      </c>
      <c r="L3" t="s">
        <v>5</v>
      </c>
      <c r="M3" t="s">
        <v>6</v>
      </c>
      <c r="N3" t="s">
        <v>7</v>
      </c>
      <c r="O3" t="s">
        <v>8</v>
      </c>
    </row>
    <row r="4" spans="1:32">
      <c r="A4" t="s">
        <v>9</v>
      </c>
      <c r="B4">
        <v>1000</v>
      </c>
      <c r="D4" t="s">
        <v>9</v>
      </c>
      <c r="E4" s="1">
        <v>1</v>
      </c>
      <c r="F4" s="1">
        <v>0.5</v>
      </c>
      <c r="G4" s="1">
        <v>0.2</v>
      </c>
      <c r="H4" s="1">
        <v>0.05</v>
      </c>
      <c r="I4" s="1">
        <v>0</v>
      </c>
      <c r="K4" t="s">
        <v>9</v>
      </c>
      <c r="L4" s="2">
        <v>1.2999999999999999E-2</v>
      </c>
      <c r="M4" s="2">
        <v>1.4E-2</v>
      </c>
      <c r="N4" s="2">
        <v>1.6E-2</v>
      </c>
      <c r="O4" s="2">
        <v>1.7000000000000001E-2</v>
      </c>
      <c r="AD4">
        <f>SUMPRODUCT(N5:O5,L22:M22)</f>
        <v>3.2199999999999998</v>
      </c>
    </row>
    <row r="5" spans="1:32">
      <c r="A5" t="s">
        <v>10</v>
      </c>
      <c r="B5">
        <v>1200</v>
      </c>
      <c r="D5" t="s">
        <v>10</v>
      </c>
      <c r="E5" s="1">
        <v>1</v>
      </c>
      <c r="F5" s="1">
        <v>0.5</v>
      </c>
      <c r="G5" s="1">
        <v>0.2</v>
      </c>
      <c r="H5" s="1">
        <v>0.05</v>
      </c>
      <c r="I5" s="1">
        <v>0</v>
      </c>
      <c r="K5" t="s">
        <v>10</v>
      </c>
      <c r="L5" s="2">
        <v>1.3599999999999999E-2</v>
      </c>
      <c r="M5" s="2">
        <v>1.46E-2</v>
      </c>
      <c r="N5" s="2">
        <v>1.66E-2</v>
      </c>
      <c r="O5" s="2">
        <v>1.77E-2</v>
      </c>
      <c r="AA5">
        <f>SUMPRODUCT(Z13,F21)</f>
        <v>0.85000000000000009</v>
      </c>
      <c r="AB5" s="3">
        <f>SUMPRODUCT(Y13,F21)</f>
        <v>0.8</v>
      </c>
      <c r="AD5">
        <f>SUMPRODUCT(Z13,F21)</f>
        <v>0.85000000000000009</v>
      </c>
    </row>
    <row r="6" spans="1:32">
      <c r="A6" t="s">
        <v>11</v>
      </c>
      <c r="B6">
        <v>1350</v>
      </c>
      <c r="D6" t="s">
        <v>11</v>
      </c>
      <c r="E6" s="1">
        <v>1</v>
      </c>
      <c r="F6" s="1">
        <v>0.5</v>
      </c>
      <c r="G6" s="1">
        <v>0.2</v>
      </c>
      <c r="H6" s="1">
        <v>0.05</v>
      </c>
      <c r="I6" s="1">
        <v>0</v>
      </c>
      <c r="K6" t="s">
        <v>11</v>
      </c>
      <c r="L6" s="2">
        <v>1.43E-2</v>
      </c>
      <c r="M6" s="2">
        <v>1.5299999999999999E-2</v>
      </c>
      <c r="N6" s="2">
        <v>1.7299999999999999E-2</v>
      </c>
      <c r="O6" s="2">
        <v>1.84E-2</v>
      </c>
      <c r="AB6">
        <f>SUMPRODUCT(E21)</f>
        <v>150</v>
      </c>
      <c r="AD6">
        <f>SUMPRODUCT(F21)</f>
        <v>50</v>
      </c>
      <c r="AE6" t="s">
        <v>12</v>
      </c>
    </row>
    <row r="7" spans="1:32">
      <c r="A7" t="s">
        <v>13</v>
      </c>
      <c r="B7">
        <v>1250</v>
      </c>
      <c r="D7" t="s">
        <v>13</v>
      </c>
      <c r="E7" s="1">
        <v>1</v>
      </c>
      <c r="F7" s="1">
        <v>0.5</v>
      </c>
      <c r="G7" s="1">
        <v>0.2</v>
      </c>
      <c r="H7" s="1">
        <v>0.05</v>
      </c>
      <c r="I7" s="1">
        <v>0</v>
      </c>
      <c r="K7" t="s">
        <v>13</v>
      </c>
      <c r="L7" s="2">
        <v>1.47E-2</v>
      </c>
      <c r="M7" s="2">
        <v>1.5699999999999999E-2</v>
      </c>
      <c r="N7" s="2">
        <v>1.78E-2</v>
      </c>
      <c r="O7" s="2">
        <v>1.89E-2</v>
      </c>
      <c r="AB7">
        <f>SUMPRODUCT(L22:M22)</f>
        <v>190</v>
      </c>
      <c r="AD7">
        <f>SUMPRODUCT(L22:M22)</f>
        <v>190</v>
      </c>
      <c r="AE7" t="s">
        <v>14</v>
      </c>
    </row>
    <row r="8" spans="1:32">
      <c r="A8" t="s">
        <v>15</v>
      </c>
      <c r="B8">
        <v>1380</v>
      </c>
      <c r="D8" t="s">
        <v>15</v>
      </c>
      <c r="E8" s="1">
        <v>1</v>
      </c>
      <c r="F8" s="1">
        <v>0.5</v>
      </c>
      <c r="G8" s="1">
        <v>0.2</v>
      </c>
      <c r="H8" s="1">
        <v>0.05</v>
      </c>
      <c r="I8" s="1">
        <v>0</v>
      </c>
      <c r="K8" t="s">
        <v>15</v>
      </c>
      <c r="L8" s="2">
        <v>1.4999999999999999E-2</v>
      </c>
      <c r="M8" s="2">
        <v>1.6E-2</v>
      </c>
      <c r="N8" s="2">
        <v>1.8200000000000001E-2</v>
      </c>
      <c r="O8" s="2">
        <v>1.9199999999999998E-2</v>
      </c>
    </row>
    <row r="11" spans="1:32">
      <c r="B11" t="s">
        <v>16</v>
      </c>
      <c r="I11" t="s">
        <v>17</v>
      </c>
      <c r="P11" t="s">
        <v>18</v>
      </c>
      <c r="V11" t="s">
        <v>19</v>
      </c>
      <c r="AB11" t="s">
        <v>20</v>
      </c>
    </row>
    <row r="12" spans="1:32">
      <c r="B12" t="s">
        <v>4</v>
      </c>
      <c r="C12" t="s">
        <v>5</v>
      </c>
      <c r="D12" t="s">
        <v>6</v>
      </c>
      <c r="E12" t="s">
        <v>7</v>
      </c>
      <c r="F12" t="s">
        <v>8</v>
      </c>
      <c r="I12" t="s">
        <v>4</v>
      </c>
      <c r="J12" t="s">
        <v>5</v>
      </c>
      <c r="K12" t="s">
        <v>6</v>
      </c>
      <c r="L12" t="s">
        <v>7</v>
      </c>
      <c r="M12" t="s">
        <v>8</v>
      </c>
      <c r="P12" t="s">
        <v>4</v>
      </c>
      <c r="Q12" t="s">
        <v>5</v>
      </c>
      <c r="R12" t="s">
        <v>6</v>
      </c>
      <c r="S12" t="s">
        <v>7</v>
      </c>
      <c r="T12" t="s">
        <v>8</v>
      </c>
      <c r="V12" t="s">
        <v>4</v>
      </c>
      <c r="W12" s="4" t="s">
        <v>5</v>
      </c>
      <c r="X12" s="4" t="s">
        <v>6</v>
      </c>
      <c r="Y12" s="4" t="s">
        <v>7</v>
      </c>
      <c r="Z12" s="4" t="s">
        <v>8</v>
      </c>
      <c r="AB12" t="s">
        <v>4</v>
      </c>
      <c r="AC12" s="4" t="s">
        <v>5</v>
      </c>
      <c r="AD12" s="4" t="s">
        <v>6</v>
      </c>
      <c r="AE12" s="4" t="s">
        <v>7</v>
      </c>
      <c r="AF12" s="4" t="s">
        <v>8</v>
      </c>
    </row>
    <row r="13" spans="1:32">
      <c r="A13" t="s">
        <v>9</v>
      </c>
      <c r="B13">
        <f t="shared" ref="B13:F15" si="0">$B4*E4</f>
        <v>1000</v>
      </c>
      <c r="C13">
        <f t="shared" si="0"/>
        <v>500</v>
      </c>
      <c r="D13">
        <f t="shared" si="0"/>
        <v>200</v>
      </c>
      <c r="E13">
        <f t="shared" si="0"/>
        <v>50</v>
      </c>
      <c r="F13">
        <f t="shared" si="0"/>
        <v>0</v>
      </c>
      <c r="H13" t="s">
        <v>9</v>
      </c>
      <c r="I13">
        <f>B13</f>
        <v>1000</v>
      </c>
      <c r="J13">
        <f>C13</f>
        <v>500</v>
      </c>
      <c r="K13">
        <f>D13</f>
        <v>200</v>
      </c>
      <c r="L13">
        <f>E13</f>
        <v>50</v>
      </c>
      <c r="M13">
        <f>F13</f>
        <v>0</v>
      </c>
      <c r="O13" t="s">
        <v>9</v>
      </c>
      <c r="P13" s="5">
        <f>SUMPRODUCT(L4:O4,J21:M21)/SUMPRODUCT(J21:M21)</f>
        <v>1.3949999999999999E-2</v>
      </c>
      <c r="Q13" s="5">
        <f>SUMPRODUCT(M4:P4,K21:N21)/SUMPRODUCT(K21:N21)</f>
        <v>1.4899999999999998E-2</v>
      </c>
      <c r="R13" s="5">
        <f>SUMPRODUCT(N4:Q4,L21:O21)/SUMPRODUCT(L21:O21)</f>
        <v>1.6250000000000001E-2</v>
      </c>
      <c r="S13" s="5">
        <f>SUMPRODUCT(O4:R4,M21:P21)/SUMPRODUCT(M21:P21)</f>
        <v>1.6613730759833863E-2</v>
      </c>
      <c r="V13" s="6">
        <v>0</v>
      </c>
      <c r="W13" s="5">
        <f>((AB13*(C21+D21+E21+F21))-(Z13*F21)-(Y13*E21)-(X13*D21))/C21</f>
        <v>1.2999999999999999E-2</v>
      </c>
      <c r="X13" s="5">
        <f>((AC13*(D21+E21+F21))-(Z13*F21)-(Y13*E21))/D21</f>
        <v>1.3999999999999997E-2</v>
      </c>
      <c r="Y13" s="5">
        <f>((AD13*(E21+F21))-(Z13*F21))/E21</f>
        <v>1.6E-2</v>
      </c>
      <c r="Z13" s="7">
        <f>AE13</f>
        <v>1.7000000000000001E-2</v>
      </c>
      <c r="AA13" s="8" t="s">
        <v>9</v>
      </c>
      <c r="AB13" s="5">
        <f>(SUMPRODUCT(L4:O4,J21:M21))/(SUMPRODUCT(J21:M21))</f>
        <v>1.3949999999999999E-2</v>
      </c>
      <c r="AC13" s="5">
        <f>(SUMPRODUCT(M4:O4,K21:M21))/(SUMPRODUCT(K21:M21))</f>
        <v>1.4899999999999998E-2</v>
      </c>
      <c r="AD13" s="5">
        <f>(SUMPRODUCT(N4:O4,L21:M21))/(SUMPRODUCT(L21:M21))</f>
        <v>1.6250000000000001E-2</v>
      </c>
      <c r="AE13" s="5">
        <f>(SUMPRODUCT(O4,M21))/(SUMPRODUCT(M21))</f>
        <v>1.7000000000000001E-2</v>
      </c>
      <c r="AF13" s="6">
        <v>0</v>
      </c>
    </row>
    <row r="14" spans="1:32">
      <c r="A14" t="s">
        <v>10</v>
      </c>
      <c r="B14">
        <f t="shared" si="0"/>
        <v>1200</v>
      </c>
      <c r="C14">
        <f t="shared" si="0"/>
        <v>600</v>
      </c>
      <c r="D14">
        <f t="shared" si="0"/>
        <v>240</v>
      </c>
      <c r="E14">
        <f t="shared" si="0"/>
        <v>60</v>
      </c>
      <c r="F14">
        <f t="shared" si="0"/>
        <v>0</v>
      </c>
      <c r="H14" t="s">
        <v>10</v>
      </c>
      <c r="I14">
        <f>B14-J13</f>
        <v>700</v>
      </c>
      <c r="J14">
        <f>C14-K13</f>
        <v>400</v>
      </c>
      <c r="K14" s="9">
        <f>D14-L13</f>
        <v>190</v>
      </c>
      <c r="L14">
        <f>E14-M13</f>
        <v>60</v>
      </c>
      <c r="M14">
        <f>F14</f>
        <v>0</v>
      </c>
      <c r="O14" t="s">
        <v>10</v>
      </c>
      <c r="P14" s="5">
        <f>(SUMPRODUCT(L5:O5,J22:M22)+SUMPRODUCT(M4:O4,K21:M21))/(SUMPRODUCT(K21:M21)+SUMPRODUCT(J22:M22))</f>
        <v>1.4846666666666666E-2</v>
      </c>
      <c r="Q14" s="5">
        <f>(SUMPRODUCT(M5:P5,K22:N22)+SUMPRODUCT(N4:P4,L21:N21))/(SUMPRODUCT(L21:N21)+SUMPRODUCT(K22:N22))</f>
        <v>1.5893333333333336E-2</v>
      </c>
      <c r="R14" s="5">
        <f>(SUMPRODUCT(N5:Q5,L22:O22)+SUMPRODUCT(O4:Q4,M21:O21))/(SUMPRODUCT(M21:O21)+SUMPRODUCT(L22:O22))</f>
        <v>1.6958333333333336E-2</v>
      </c>
      <c r="S14" s="5">
        <f>(SUMPRODUCT(O5:R5,M22:P22)+SUMPRODUCT(P4:R4,N21:P21))/(SUMPRODUCT(N21:P21)+SUMPRODUCT(M22:P22))</f>
        <v>1.6952083494065972E-2</v>
      </c>
      <c r="V14" s="6">
        <v>0</v>
      </c>
      <c r="W14" s="5">
        <f>((AB14*(C22+D22+E22+F22))-(Z14*F22)-(Y14*E22)-(X14*D22))/C22</f>
        <v>1.3799999999999996E-2</v>
      </c>
      <c r="X14" s="5">
        <f>((AC14*(D22+E22+F22))-(Z14*F22)-(Y14*E22))/D22</f>
        <v>1.5183333333333339E-2</v>
      </c>
      <c r="Y14" s="10">
        <f>((AD14*(E22+F22))-(Z14*F22))/E22</f>
        <v>1.6711111111111111E-2</v>
      </c>
      <c r="Z14" s="7">
        <f>AE14</f>
        <v>1.77E-2</v>
      </c>
      <c r="AA14" s="8" t="s">
        <v>10</v>
      </c>
      <c r="AB14" s="5">
        <f>(SUMPRODUCT(L5:O5,J22:M22)+SUMPRODUCT(X13:Z13,D21:F21))/(SUMPRODUCT(D21:F21)+SUMPRODUCT(J22:M22))</f>
        <v>1.4846666666666666E-2</v>
      </c>
      <c r="AC14" s="5">
        <f>(SUMPRODUCT(M5:O5,K22:M22)+SUMPRODUCT(Y13:Z13,E21:F21))/(SUMPRODUCT(E21:F21)+SUMPRODUCT(K22:M22))</f>
        <v>1.5893333333333336E-2</v>
      </c>
      <c r="AD14" s="10">
        <f>(SUMPRODUCT(N5:O5,L22:M22)+SUMPRODUCT(Z13,F21))/(SUMPRODUCT(F21)+SUMPRODUCT(L22:M22))</f>
        <v>1.6958333333333336E-2</v>
      </c>
      <c r="AE14" s="5">
        <f>(SUMPRODUCT(O5,M22))/(SUMPRODUCT(M22))</f>
        <v>1.77E-2</v>
      </c>
      <c r="AF14" s="6">
        <v>0</v>
      </c>
    </row>
    <row r="15" spans="1:32">
      <c r="A15" t="s">
        <v>11</v>
      </c>
      <c r="B15">
        <f t="shared" si="0"/>
        <v>1350</v>
      </c>
      <c r="C15">
        <f t="shared" si="0"/>
        <v>675</v>
      </c>
      <c r="D15">
        <f t="shared" si="0"/>
        <v>270</v>
      </c>
      <c r="E15">
        <f t="shared" si="0"/>
        <v>67.5</v>
      </c>
      <c r="F15">
        <f t="shared" si="0"/>
        <v>0</v>
      </c>
      <c r="H15" t="s">
        <v>11</v>
      </c>
      <c r="I15">
        <f>B15-J14-K13</f>
        <v>750</v>
      </c>
      <c r="J15">
        <f>C15-K14-L13</f>
        <v>435</v>
      </c>
      <c r="K15">
        <f>D15-L14-M13</f>
        <v>210</v>
      </c>
      <c r="L15">
        <f>E15-M14</f>
        <v>67.5</v>
      </c>
      <c r="M15">
        <f>F15</f>
        <v>0</v>
      </c>
      <c r="O15" t="s">
        <v>11</v>
      </c>
      <c r="P15" s="5">
        <f>(SUMPRODUCT(L6:O6,J23:M23)+SUMPRODUCT(M5:O5,K22:M22)+SUMPRODUCT(N4:O4,L21:M21))/(SUMPRODUCT(K22:M22)+SUMPRODUCT(J23:M23)+SUMPRODUCT(L21:M21))</f>
        <v>1.5696481481481485E-2</v>
      </c>
      <c r="Q15" s="5">
        <f>(SUMPRODUCT(M6:P6,K23:N23)+SUMPRODUCT(N5:P5,L22:N22)+SUMPRODUCT(O4:P4,M21:N21))/(SUMPRODUCT(L22:N22)+SUMPRODUCT(K23:N23)+SUMPRODUCT(M21:N21))</f>
        <v>1.6621851851851849E-2</v>
      </c>
      <c r="R15" s="5">
        <f>(SUMPRODUCT(N6:Q6,L23:O23)+SUMPRODUCT(O5:Q5,M22:O22)+SUMPRODUCT(P4:Q4,N21:O21))/(SUMPRODUCT(M22:O22)+SUMPRODUCT(L23:O23)+SUMPRODUCT(N21:O21))</f>
        <v>1.7663888888888889E-2</v>
      </c>
      <c r="S15" s="5">
        <f>(SUMPRODUCT(O6:R6,M23:P23)+SUMPRODUCT(P5:R5,N22:P22)+SUMPRODUCT(Q4:R4,O21:P21))/(SUMPRODUCT(N22:P22)+SUMPRODUCT(M23:P23)+SUMPRODUCT(O21:P21))</f>
        <v>1.7270863963265808E-2</v>
      </c>
      <c r="V15" s="6">
        <v>0</v>
      </c>
      <c r="W15" s="5">
        <f>((AB15*(C23+D23+E23+F23))-(Z15*F23)-(Y15*E23)-(X15*D23))/C23</f>
        <v>1.4771111111111119E-2</v>
      </c>
      <c r="X15" s="5">
        <f>((AC15*(D23+E23+F23))-(Z15*F23)-(Y15*E23))/D23</f>
        <v>1.5927160493827162E-2</v>
      </c>
      <c r="Y15" s="5">
        <f>((AD15*(E23+F23))-(Z15*F23))/E23</f>
        <v>1.7418518518518517E-2</v>
      </c>
      <c r="Z15" s="7">
        <f>AE15</f>
        <v>1.84E-2</v>
      </c>
      <c r="AA15" s="8" t="s">
        <v>11</v>
      </c>
      <c r="AB15" s="5">
        <f>(SUMPRODUCT(L6:O6,J23:M23)+SUMPRODUCT(X14:Z14,D22:F22))/(SUMPRODUCT(D22:F22)+SUMPRODUCT(J23:M23))</f>
        <v>1.5696481481481485E-2</v>
      </c>
      <c r="AC15" s="5">
        <f>(SUMPRODUCT(M6:O6,K23:M23)+SUMPRODUCT(Y14:Z14,E22:F22))/(SUMPRODUCT(E22:F22)+SUMPRODUCT(K23:M23))</f>
        <v>1.6621851851851853E-2</v>
      </c>
      <c r="AD15" s="5">
        <f>(SUMPRODUCT(N6:O6,L23:M23)+SUMPRODUCT(Z14,F22))/(SUMPRODUCT(F22)+SUMPRODUCT(L23:M23))</f>
        <v>1.7663888888888889E-2</v>
      </c>
      <c r="AE15" s="5">
        <f>(SUMPRODUCT(O6,M23))/(SUMPRODUCT(M23))</f>
        <v>1.84E-2</v>
      </c>
      <c r="AF15" s="6">
        <v>0</v>
      </c>
    </row>
    <row r="16" spans="1:32">
      <c r="A16" t="s">
        <v>13</v>
      </c>
      <c r="B16">
        <v>1250</v>
      </c>
      <c r="C16">
        <f t="shared" ref="C16:F17" si="1">$B7*F7</f>
        <v>625</v>
      </c>
      <c r="D16">
        <f t="shared" si="1"/>
        <v>250</v>
      </c>
      <c r="E16">
        <f t="shared" si="1"/>
        <v>62.5</v>
      </c>
      <c r="F16">
        <f t="shared" si="1"/>
        <v>0</v>
      </c>
      <c r="H16" t="s">
        <v>13</v>
      </c>
      <c r="I16">
        <f>B16-J15-K14-L13</f>
        <v>575</v>
      </c>
      <c r="J16">
        <f>C16-K15-L14-M13</f>
        <v>355</v>
      </c>
      <c r="K16" s="11">
        <f>D16-L15-M14</f>
        <v>182.5</v>
      </c>
      <c r="L16" s="11">
        <f>E16-M15</f>
        <v>62.5</v>
      </c>
      <c r="M16" s="11">
        <f>F16</f>
        <v>0</v>
      </c>
      <c r="O16" t="s">
        <v>13</v>
      </c>
      <c r="P16" s="5">
        <f t="shared" ref="P16:S17" si="2">(SUMPRODUCT(L7:O7,J24:M24)+SUMPRODUCT(M6:O6,K23:M23)+SUMPRODUCT(N5:O5,L22:M22)+SUMPRODUCT(M21,O4))/(SUMPRODUCT(K23:M23)+SUMPRODUCT(J24:M24)+SUMPRODUCT(L22:M22)+SUMPRODUCT(M21))</f>
        <v>1.6383399999999999E-2</v>
      </c>
      <c r="Q16" s="5" t="e">
        <f t="shared" si="2"/>
        <v>#VALUE!</v>
      </c>
      <c r="R16" s="5" t="e">
        <f t="shared" si="2"/>
        <v>#VALUE!</v>
      </c>
      <c r="S16" s="5" t="e">
        <f t="shared" si="2"/>
        <v>#VALUE!</v>
      </c>
      <c r="V16" s="6">
        <v>0</v>
      </c>
      <c r="W16" s="5">
        <f>((AB16*(C24+D24+E24+F24))-(Z16*F24)-(Y16*E24)-(X16*D24))/C24</f>
        <v>1.5495200000000006E-2</v>
      </c>
      <c r="X16" s="5">
        <f>((AC16*(D24+E24+F24))-(Z16*F24)-(Y16*E24))/D24</f>
        <v>1.6627999999999993E-2</v>
      </c>
      <c r="Y16" s="5">
        <f>((AD16*(E24+F24))-(Z16*F24))/E24</f>
        <v>1.8016000000000004E-2</v>
      </c>
      <c r="Z16" s="7">
        <f>AE16</f>
        <v>1.89E-2</v>
      </c>
      <c r="AA16" s="8" t="s">
        <v>13</v>
      </c>
      <c r="AB16" s="5">
        <f>(SUMPRODUCT(L7:O7,J24:M24)+SUMPRODUCT(X15:Z15,D23:F23))/(SUMPRODUCT(D23:F23)+SUMPRODUCT(J24:M24))</f>
        <v>1.6383399999999999E-2</v>
      </c>
      <c r="AC16" s="5">
        <f>(SUMPRODUCT(M7:O7,K24:M24)+SUMPRODUCT(Y15:Z15,E23:F23))/(SUMPRODUCT(E23:F23)+SUMPRODUCT(K24:M24))</f>
        <v>1.7271599999999998E-2</v>
      </c>
      <c r="AD16" s="5">
        <f>(SUMPRODUCT(N7:O7,L24:M24)+SUMPRODUCT(Z15,F23))/(SUMPRODUCT(F23)+SUMPRODUCT(L24:M24))</f>
        <v>1.8237000000000003E-2</v>
      </c>
      <c r="AE16" s="5">
        <f>(SUMPRODUCT(O7,M24))/(SUMPRODUCT(M24))</f>
        <v>1.89E-2</v>
      </c>
      <c r="AF16" s="6">
        <v>0</v>
      </c>
    </row>
    <row r="17" spans="1:32" ht="15" customHeight="1">
      <c r="A17" t="s">
        <v>15</v>
      </c>
      <c r="B17">
        <f>$B8*E8</f>
        <v>1380</v>
      </c>
      <c r="C17">
        <f t="shared" si="1"/>
        <v>690</v>
      </c>
      <c r="D17">
        <f t="shared" si="1"/>
        <v>276</v>
      </c>
      <c r="E17">
        <f t="shared" si="1"/>
        <v>69</v>
      </c>
      <c r="F17">
        <f t="shared" si="1"/>
        <v>0</v>
      </c>
      <c r="H17" t="s">
        <v>15</v>
      </c>
      <c r="I17">
        <f>B17-J16-K15-L14-M13</f>
        <v>755</v>
      </c>
      <c r="J17" s="11">
        <f>C17-K16-L15-M14-U13</f>
        <v>440</v>
      </c>
      <c r="K17" s="11">
        <f>D17-L16-M15</f>
        <v>213.5</v>
      </c>
      <c r="L17" s="11">
        <f>E17-M16</f>
        <v>69</v>
      </c>
      <c r="M17" s="11">
        <f>F17</f>
        <v>0</v>
      </c>
      <c r="O17" t="s">
        <v>15</v>
      </c>
      <c r="P17" s="5">
        <f t="shared" si="2"/>
        <v>1.6738007246376811E-2</v>
      </c>
      <c r="Q17" s="5" t="e">
        <f t="shared" si="2"/>
        <v>#VALUE!</v>
      </c>
      <c r="R17" s="5" t="e">
        <f t="shared" si="2"/>
        <v>#VALUE!</v>
      </c>
      <c r="S17" s="5" t="e">
        <f t="shared" si="2"/>
        <v>#VALUE!</v>
      </c>
      <c r="V17" s="6">
        <v>0</v>
      </c>
      <c r="W17" s="5">
        <f>((AB17*(C25+D25+E25+F25))-(Z17*F25)-(Y17*E25)-(X17*D25))/C25</f>
        <v>1.588478260869565E-2</v>
      </c>
      <c r="X17" s="5">
        <f>((AC17*(D25+E25+F25))-(Z17*F25)-(Y17*E25))/D25</f>
        <v>1.6913043478260871E-2</v>
      </c>
      <c r="Y17" s="5">
        <f>((AD17*(E25+F25))-(Z17*F25))/E25</f>
        <v>1.8411352657004828E-2</v>
      </c>
      <c r="Z17" s="7">
        <f>AE17</f>
        <v>1.9199999999999998E-2</v>
      </c>
      <c r="AA17" s="8" t="s">
        <v>15</v>
      </c>
      <c r="AB17" s="5">
        <f>(SUMPRODUCT(L8:O8,J25:M25)+SUMPRODUCT(X16:Z16,D24:F24))/(SUMPRODUCT(D24:F24)+SUMPRODUCT(J25:M25))</f>
        <v>1.6738007246376811E-2</v>
      </c>
      <c r="AC17" s="5">
        <f>(SUMPRODUCT(M8:O8,K25:M25)+SUMPRODUCT(Y16:Z16,E24:F24))/(SUMPRODUCT(E24:F24)+SUMPRODUCT(K25:M25))</f>
        <v>1.7591231884057972E-2</v>
      </c>
      <c r="AD17" s="5">
        <f>(SUMPRODUCT(N8:O8,L25:M25)+SUMPRODUCT(Z16,F24))/(SUMPRODUCT(F24)+SUMPRODUCT(L25:M25))</f>
        <v>1.8608514492753622E-2</v>
      </c>
      <c r="AE17" s="5">
        <f>(SUMPRODUCT(O8,M25))/(SUMPRODUCT(M25))</f>
        <v>1.9199999999999998E-2</v>
      </c>
      <c r="AF17" s="6">
        <v>0</v>
      </c>
    </row>
    <row r="19" spans="1:32">
      <c r="B19" t="s">
        <v>21</v>
      </c>
      <c r="I19" t="s">
        <v>22</v>
      </c>
      <c r="P19" t="s">
        <v>23</v>
      </c>
      <c r="Y19" s="5">
        <f>AD14</f>
        <v>1.6958333333333336E-2</v>
      </c>
    </row>
    <row r="20" spans="1:32">
      <c r="B20" t="s">
        <v>4</v>
      </c>
      <c r="C20" t="s">
        <v>5</v>
      </c>
      <c r="D20" t="s">
        <v>6</v>
      </c>
      <c r="E20" t="s">
        <v>7</v>
      </c>
      <c r="F20" t="s">
        <v>8</v>
      </c>
      <c r="I20" t="s">
        <v>4</v>
      </c>
      <c r="J20" t="s">
        <v>5</v>
      </c>
      <c r="K20" t="s">
        <v>6</v>
      </c>
      <c r="L20" t="s">
        <v>7</v>
      </c>
      <c r="M20" t="s">
        <v>8</v>
      </c>
      <c r="P20" t="s">
        <v>4</v>
      </c>
      <c r="Q20" t="s">
        <v>5</v>
      </c>
      <c r="R20" t="s">
        <v>6</v>
      </c>
      <c r="S20" t="s">
        <v>7</v>
      </c>
      <c r="T20" t="s">
        <v>8</v>
      </c>
      <c r="Y20">
        <f>E22+F22</f>
        <v>240</v>
      </c>
      <c r="AD20" t="s">
        <v>24</v>
      </c>
      <c r="AE20" t="s">
        <v>24</v>
      </c>
      <c r="AF20" t="s">
        <v>25</v>
      </c>
    </row>
    <row r="21" spans="1:32">
      <c r="A21" t="s">
        <v>9</v>
      </c>
      <c r="C21">
        <f t="shared" ref="C21:F25" si="3">B13-C13</f>
        <v>500</v>
      </c>
      <c r="D21">
        <f t="shared" si="3"/>
        <v>300</v>
      </c>
      <c r="E21">
        <f t="shared" si="3"/>
        <v>150</v>
      </c>
      <c r="F21">
        <f t="shared" si="3"/>
        <v>50</v>
      </c>
      <c r="H21" t="s">
        <v>9</v>
      </c>
      <c r="J21">
        <f t="shared" ref="J21:M25" si="4">I13-J13</f>
        <v>500</v>
      </c>
      <c r="K21">
        <f t="shared" si="4"/>
        <v>300</v>
      </c>
      <c r="L21">
        <f t="shared" si="4"/>
        <v>150</v>
      </c>
      <c r="M21">
        <f t="shared" si="4"/>
        <v>50</v>
      </c>
      <c r="O21" t="s">
        <v>9</v>
      </c>
      <c r="P21" s="12">
        <f>SUMPRODUCT(L4:O4,J21:M21)/12</f>
        <v>1.1624999999999999</v>
      </c>
      <c r="Q21" s="12">
        <f>SUMPRODUCT(M4:P4,K21:N21)/12</f>
        <v>0.62083333333333324</v>
      </c>
      <c r="R21" s="12">
        <f>SUMPRODUCT(N4:Q4,L21:O21)/12</f>
        <v>0.27083333333333331</v>
      </c>
      <c r="S21" s="12">
        <f>SUMPRODUCT(O4:R4,M21:P21)/12</f>
        <v>7.0833333333333345E-2</v>
      </c>
      <c r="Y21">
        <f>-(Z14*F22)</f>
        <v>-1.0620000000000001</v>
      </c>
      <c r="AD21" t="s">
        <v>26</v>
      </c>
      <c r="AE21" t="s">
        <v>27</v>
      </c>
    </row>
    <row r="22" spans="1:32">
      <c r="A22" t="s">
        <v>10</v>
      </c>
      <c r="C22">
        <f t="shared" si="3"/>
        <v>600</v>
      </c>
      <c r="D22">
        <f t="shared" si="3"/>
        <v>360</v>
      </c>
      <c r="E22">
        <f t="shared" si="3"/>
        <v>180</v>
      </c>
      <c r="F22">
        <f t="shared" si="3"/>
        <v>60</v>
      </c>
      <c r="H22" t="s">
        <v>10</v>
      </c>
      <c r="J22">
        <f t="shared" si="4"/>
        <v>300</v>
      </c>
      <c r="K22">
        <f t="shared" si="4"/>
        <v>210</v>
      </c>
      <c r="L22">
        <f t="shared" si="4"/>
        <v>130</v>
      </c>
      <c r="M22">
        <f t="shared" si="4"/>
        <v>60</v>
      </c>
      <c r="O22" t="s">
        <v>10</v>
      </c>
      <c r="P22" s="12">
        <f>(SUMPRODUCT(L5:O5,J22:M22)+SUMPRODUCT(M4:O4,K21:M21))/12</f>
        <v>1.4846666666666666</v>
      </c>
      <c r="Q22" s="12">
        <f>(SUMPRODUCT(M5:P5,K22:N22)+SUMPRODUCT(N4:P4,L21:N21))/12</f>
        <v>0.79466666666666674</v>
      </c>
      <c r="R22" s="12">
        <f>(SUMPRODUCT(N5:Q5,L22:O22)+SUMPRODUCT(O4:Q4,M21:O21))/12</f>
        <v>0.33916666666666667</v>
      </c>
      <c r="S22" s="12">
        <f>(SUMPRODUCT(O5:R5,M22:P22)+SUMPRODUCT(P4:R4,N21:P21))/12</f>
        <v>8.8500000000000009E-2</v>
      </c>
      <c r="Y22">
        <f>E22</f>
        <v>180</v>
      </c>
      <c r="AD22">
        <v>3</v>
      </c>
      <c r="AE22">
        <v>4</v>
      </c>
    </row>
    <row r="23" spans="1:32">
      <c r="A23" t="s">
        <v>11</v>
      </c>
      <c r="C23">
        <f t="shared" si="3"/>
        <v>675</v>
      </c>
      <c r="D23">
        <f t="shared" si="3"/>
        <v>405</v>
      </c>
      <c r="E23">
        <f t="shared" si="3"/>
        <v>202.5</v>
      </c>
      <c r="F23">
        <f t="shared" si="3"/>
        <v>67.5</v>
      </c>
      <c r="H23" t="s">
        <v>11</v>
      </c>
      <c r="J23">
        <f t="shared" si="4"/>
        <v>315</v>
      </c>
      <c r="K23">
        <f t="shared" si="4"/>
        <v>225</v>
      </c>
      <c r="L23">
        <f t="shared" si="4"/>
        <v>142.5</v>
      </c>
      <c r="M23">
        <f t="shared" si="4"/>
        <v>67.5</v>
      </c>
      <c r="O23" t="s">
        <v>11</v>
      </c>
      <c r="P23" s="12">
        <f>(SUMPRODUCT(L6:O6,J23:M23)+SUMPRODUCT(M5:O5,K22:M22)+SUMPRODUCT(N4:O4,L21:M21))/12</f>
        <v>1.7658541666666669</v>
      </c>
      <c r="Q23" s="12">
        <f>(SUMPRODUCT(M6:P6,K23:N23)+SUMPRODUCT(N5:P5,L22:N22)+SUMPRODUCT(O4:P4,M21:N21))/12</f>
        <v>0.93497916666666658</v>
      </c>
      <c r="R23" s="12">
        <f>(SUMPRODUCT(N6:Q6,L23:O23)+SUMPRODUCT(O5:Q5,M22:O22)+SUMPRODUCT(P4:Q4,N21:O21))/12</f>
        <v>0.39743749999999994</v>
      </c>
      <c r="S23" s="12">
        <f>(SUMPRODUCT(O6:R6,M23:P23)+SUMPRODUCT(P5:R5,N22:P22)+SUMPRODUCT(Q4:R4,O21:P21))/12</f>
        <v>0.10349999999999999</v>
      </c>
      <c r="AD23">
        <v>2</v>
      </c>
      <c r="AE23">
        <v>3</v>
      </c>
    </row>
    <row r="24" spans="1:32">
      <c r="A24" t="s">
        <v>13</v>
      </c>
      <c r="C24">
        <f t="shared" si="3"/>
        <v>625</v>
      </c>
      <c r="D24">
        <f t="shared" si="3"/>
        <v>375</v>
      </c>
      <c r="E24">
        <f t="shared" si="3"/>
        <v>187.5</v>
      </c>
      <c r="F24">
        <f t="shared" si="3"/>
        <v>62.5</v>
      </c>
      <c r="H24" t="s">
        <v>13</v>
      </c>
      <c r="J24">
        <f t="shared" si="4"/>
        <v>220</v>
      </c>
      <c r="K24">
        <f t="shared" si="4"/>
        <v>172.5</v>
      </c>
      <c r="L24">
        <f t="shared" si="4"/>
        <v>120</v>
      </c>
      <c r="M24">
        <f t="shared" si="4"/>
        <v>62.5</v>
      </c>
      <c r="O24" t="s">
        <v>13</v>
      </c>
      <c r="P24" s="12">
        <f t="shared" ref="P24:S25" si="5">(SUMPRODUCT(L7:O7,J24:M24)+SUMPRODUCT(M6:O6,K23:M23)+SUMPRODUCT(N5:O5,L22:M22)+SUMPRODUCT(M21,O4))/12</f>
        <v>1.7066041666666667</v>
      </c>
      <c r="Q24" s="12" t="e">
        <f t="shared" si="5"/>
        <v>#VALUE!</v>
      </c>
      <c r="R24" s="12" t="e">
        <f t="shared" si="5"/>
        <v>#VALUE!</v>
      </c>
      <c r="S24" s="12" t="e">
        <f t="shared" si="5"/>
        <v>#VALUE!</v>
      </c>
      <c r="AD24">
        <v>1</v>
      </c>
      <c r="AE24">
        <v>2</v>
      </c>
    </row>
    <row r="25" spans="1:32">
      <c r="A25" t="s">
        <v>15</v>
      </c>
      <c r="C25">
        <f t="shared" si="3"/>
        <v>690</v>
      </c>
      <c r="D25">
        <f t="shared" si="3"/>
        <v>414</v>
      </c>
      <c r="E25">
        <f t="shared" si="3"/>
        <v>207</v>
      </c>
      <c r="F25">
        <f t="shared" si="3"/>
        <v>69</v>
      </c>
      <c r="H25" t="s">
        <v>15</v>
      </c>
      <c r="J25">
        <f t="shared" si="4"/>
        <v>315</v>
      </c>
      <c r="K25">
        <f t="shared" si="4"/>
        <v>226.5</v>
      </c>
      <c r="L25">
        <f t="shared" si="4"/>
        <v>144.5</v>
      </c>
      <c r="M25">
        <f t="shared" si="4"/>
        <v>69</v>
      </c>
      <c r="O25" t="s">
        <v>15</v>
      </c>
      <c r="P25" s="12">
        <f t="shared" si="5"/>
        <v>1.9248708333333333</v>
      </c>
      <c r="Q25" s="12" t="e">
        <f t="shared" si="5"/>
        <v>#VALUE!</v>
      </c>
      <c r="R25" s="12" t="e">
        <f t="shared" si="5"/>
        <v>#VALUE!</v>
      </c>
      <c r="S25" s="12" t="e">
        <f t="shared" si="5"/>
        <v>#VALUE!</v>
      </c>
      <c r="AD25">
        <v>0</v>
      </c>
      <c r="AE25">
        <v>1</v>
      </c>
    </row>
    <row r="27" spans="1:32">
      <c r="B27" t="s">
        <v>4</v>
      </c>
      <c r="C27" t="s">
        <v>5</v>
      </c>
      <c r="D27" t="s">
        <v>6</v>
      </c>
      <c r="E27" t="s">
        <v>7</v>
      </c>
      <c r="F27" t="s">
        <v>8</v>
      </c>
      <c r="H27" t="s">
        <v>28</v>
      </c>
      <c r="I27" t="s">
        <v>4</v>
      </c>
      <c r="J27" s="4" t="s">
        <v>5</v>
      </c>
      <c r="K27" s="4" t="s">
        <v>6</v>
      </c>
      <c r="L27" s="4" t="s">
        <v>7</v>
      </c>
      <c r="M27" s="4" t="s">
        <v>8</v>
      </c>
    </row>
    <row r="28" spans="1:32">
      <c r="A28" t="s">
        <v>11</v>
      </c>
      <c r="B28">
        <f>B15</f>
        <v>1350</v>
      </c>
      <c r="C28">
        <f>C15</f>
        <v>675</v>
      </c>
      <c r="D28">
        <f>D15</f>
        <v>270</v>
      </c>
      <c r="E28">
        <f>E15</f>
        <v>67.5</v>
      </c>
      <c r="F28">
        <f>F15</f>
        <v>0</v>
      </c>
      <c r="H28" t="s">
        <v>11</v>
      </c>
      <c r="J28" s="13">
        <f>((C34*(C30+D30+E30+F30))-(M28*F30)-(L28*E30)-(K28*D30))/C30</f>
        <v>1.4771111111111098E-2</v>
      </c>
      <c r="K28" s="13">
        <f>((D34*(D30+E30+F30))-(M28*F30)-(L28*E30))/D30</f>
        <v>1.5927160493827232E-2</v>
      </c>
      <c r="L28" s="13">
        <f>((E34*(E30+F30))-(M28*F30))/E30</f>
        <v>1.7418518518518535E-2</v>
      </c>
      <c r="M28" s="13">
        <f>((F34*(F30)))/F30</f>
        <v>1.84E-2</v>
      </c>
    </row>
    <row r="29" spans="1:32">
      <c r="B29" t="s">
        <v>4</v>
      </c>
      <c r="C29" t="s">
        <v>5</v>
      </c>
      <c r="D29" t="s">
        <v>6</v>
      </c>
      <c r="E29" t="s">
        <v>7</v>
      </c>
      <c r="F29" t="s">
        <v>8</v>
      </c>
      <c r="J29" s="11"/>
      <c r="K29" s="11"/>
      <c r="L29" s="11"/>
    </row>
    <row r="30" spans="1:32">
      <c r="A30" t="s">
        <v>11</v>
      </c>
      <c r="C30">
        <f>B28-C28</f>
        <v>675</v>
      </c>
      <c r="D30">
        <f>C28-D28</f>
        <v>405</v>
      </c>
      <c r="E30">
        <f>D28-E28</f>
        <v>202.5</v>
      </c>
      <c r="F30">
        <f>E28-F28</f>
        <v>67.5</v>
      </c>
    </row>
    <row r="31" spans="1:32">
      <c r="B31" t="s">
        <v>4</v>
      </c>
      <c r="C31" t="s">
        <v>5</v>
      </c>
      <c r="D31" t="s">
        <v>6</v>
      </c>
      <c r="E31" t="s">
        <v>7</v>
      </c>
      <c r="F31" t="s">
        <v>8</v>
      </c>
      <c r="H31" t="s">
        <v>29</v>
      </c>
      <c r="I31" t="s">
        <v>5</v>
      </c>
      <c r="J31" t="s">
        <v>6</v>
      </c>
      <c r="K31" t="s">
        <v>7</v>
      </c>
      <c r="L31" t="s">
        <v>8</v>
      </c>
    </row>
    <row r="32" spans="1:32">
      <c r="A32" t="s">
        <v>11</v>
      </c>
      <c r="B32">
        <f>B28/$B$28</f>
        <v>1</v>
      </c>
      <c r="C32">
        <f>C28/$B$28</f>
        <v>0.5</v>
      </c>
      <c r="D32">
        <f>D28/$B$28</f>
        <v>0.2</v>
      </c>
      <c r="E32">
        <f>E28/$B$28</f>
        <v>0.05</v>
      </c>
      <c r="F32">
        <f>F28/$B$28</f>
        <v>0</v>
      </c>
      <c r="H32" t="s">
        <v>13</v>
      </c>
      <c r="I32" s="14">
        <v>1.47E-2</v>
      </c>
      <c r="J32" s="14">
        <v>1.5699999999999999E-2</v>
      </c>
      <c r="K32" s="14">
        <v>1.78E-2</v>
      </c>
      <c r="L32" s="14">
        <v>1.89E-2</v>
      </c>
    </row>
    <row r="33" spans="1:24">
      <c r="B33" t="s">
        <v>4</v>
      </c>
      <c r="C33" t="s">
        <v>5</v>
      </c>
      <c r="D33" t="s">
        <v>6</v>
      </c>
      <c r="E33" t="s">
        <v>7</v>
      </c>
      <c r="F33" t="s">
        <v>8</v>
      </c>
    </row>
    <row r="34" spans="1:24">
      <c r="A34" t="s">
        <v>11</v>
      </c>
      <c r="C34" s="5">
        <v>1.5696481481481499E-2</v>
      </c>
      <c r="D34" s="5">
        <v>1.6621851851851902E-2</v>
      </c>
      <c r="E34" s="5">
        <v>1.7663888888888899E-2</v>
      </c>
      <c r="F34" s="5">
        <v>1.84E-2</v>
      </c>
    </row>
    <row r="37" spans="1:24">
      <c r="B37" t="s">
        <v>16</v>
      </c>
      <c r="I37" t="s">
        <v>30</v>
      </c>
    </row>
    <row r="38" spans="1:24">
      <c r="B38" t="s">
        <v>4</v>
      </c>
      <c r="C38" t="s">
        <v>5</v>
      </c>
      <c r="D38" t="s">
        <v>6</v>
      </c>
      <c r="E38" t="s">
        <v>7</v>
      </c>
      <c r="F38" t="s">
        <v>8</v>
      </c>
      <c r="I38" t="s">
        <v>4</v>
      </c>
      <c r="J38" t="s">
        <v>5</v>
      </c>
      <c r="K38" t="s">
        <v>6</v>
      </c>
      <c r="L38" t="s">
        <v>7</v>
      </c>
      <c r="M38" t="s">
        <v>8</v>
      </c>
    </row>
    <row r="39" spans="1:24">
      <c r="A39" t="s">
        <v>9</v>
      </c>
      <c r="B39" s="15">
        <f>$B4*E4</f>
        <v>1000</v>
      </c>
      <c r="C39" s="15">
        <f>$B4*F4</f>
        <v>500</v>
      </c>
      <c r="D39" s="15">
        <f>$B4*G4</f>
        <v>200</v>
      </c>
      <c r="E39" s="15">
        <f>$B4*H4</f>
        <v>50</v>
      </c>
      <c r="F39" s="15">
        <f>$B4*I4</f>
        <v>0</v>
      </c>
      <c r="H39" t="s">
        <v>9</v>
      </c>
      <c r="I39" s="16">
        <f>$B$4*E4</f>
        <v>1000</v>
      </c>
      <c r="J39" s="16">
        <f t="shared" ref="J39:M43" si="6">$I39*F4</f>
        <v>500</v>
      </c>
      <c r="K39" s="16">
        <f t="shared" si="6"/>
        <v>200</v>
      </c>
      <c r="L39" s="16">
        <f t="shared" si="6"/>
        <v>50</v>
      </c>
      <c r="M39" s="16">
        <f t="shared" si="6"/>
        <v>0</v>
      </c>
      <c r="P39" s="5">
        <f>SUMPRODUCT(L4:O4,J47:M47)/SUMPRODUCT(J47:M47)</f>
        <v>1.3949999999999999E-2</v>
      </c>
      <c r="Q39" s="5">
        <f>SUMPRODUCT(M4:P4,K47:N47)/SUMPRODUCT(K47:N47)</f>
        <v>1.4899999999999998E-2</v>
      </c>
      <c r="R39" s="5">
        <f>SUMPRODUCT(N4:Q4,L47:O47)/SUMPRODUCT(L47:O47)</f>
        <v>1.6250000000000001E-2</v>
      </c>
      <c r="S39" s="5">
        <f>SUMPRODUCT(O4:R4,M47:P47)/SUMPRODUCT(M47:P47)</f>
        <v>1.7000000000000001E-2</v>
      </c>
      <c r="U39" s="5"/>
      <c r="V39" s="5"/>
      <c r="W39" s="5"/>
      <c r="X39" s="5"/>
    </row>
    <row r="40" spans="1:24">
      <c r="A40" t="s">
        <v>10</v>
      </c>
      <c r="B40" s="17">
        <f>I40+J39</f>
        <v>1200</v>
      </c>
      <c r="C40" s="17">
        <f>J40+K39</f>
        <v>550</v>
      </c>
      <c r="D40" s="17">
        <f>K40+L39</f>
        <v>190</v>
      </c>
      <c r="E40" s="17">
        <f>L40+M39</f>
        <v>35</v>
      </c>
      <c r="F40" s="17">
        <f>M40+N39</f>
        <v>0</v>
      </c>
      <c r="H40" t="s">
        <v>10</v>
      </c>
      <c r="I40" s="18">
        <f>MAX(B5-J39,0)</f>
        <v>700</v>
      </c>
      <c r="J40" s="16">
        <f t="shared" si="6"/>
        <v>350</v>
      </c>
      <c r="K40" s="16">
        <f t="shared" si="6"/>
        <v>140</v>
      </c>
      <c r="L40" s="16">
        <f t="shared" si="6"/>
        <v>35</v>
      </c>
      <c r="M40" s="16">
        <f t="shared" si="6"/>
        <v>0</v>
      </c>
      <c r="P40" s="5">
        <f>(SUMPRODUCT(L5:O5,J48:M48)+SUMPRODUCT(M4:O4,K47:M47))/(SUMPRODUCT(K47:M47)+SUMPRODUCT(J48:M48))</f>
        <v>1.469875E-2</v>
      </c>
      <c r="Q40" s="5">
        <f>(SUMPRODUCT(M5:P5,K48:N48)+SUMPRODUCT(N4:P4,L47:N47))/(SUMPRODUCT(L47:N47)+SUMPRODUCT(K48:N48))</f>
        <v>1.5779090909090909E-2</v>
      </c>
      <c r="R40" s="5">
        <f>(SUMPRODUCT(N5:Q5,L48:O48)+SUMPRODUCT(O4:Q4,M47:O47))/(SUMPRODUCT(M47:O47)+SUMPRODUCT(L48:O48))</f>
        <v>1.6907894736842108E-2</v>
      </c>
      <c r="S40" s="5">
        <f>(SUMPRODUCT(O5:R5,M48:P48)+SUMPRODUCT(P4:R4,N47:P47))/(SUMPRODUCT(N47:P47)+SUMPRODUCT(M48:P48))</f>
        <v>1.77E-2</v>
      </c>
      <c r="U40" s="5"/>
      <c r="V40" s="5"/>
      <c r="W40" s="5"/>
      <c r="X40" s="5"/>
    </row>
    <row r="41" spans="1:24">
      <c r="A41" t="s">
        <v>11</v>
      </c>
      <c r="B41" s="17">
        <f>I41+J40+K39</f>
        <v>1350</v>
      </c>
      <c r="C41" s="17">
        <f>J41+K40+L39</f>
        <v>590</v>
      </c>
      <c r="D41" s="17">
        <f>K41+L40+M39</f>
        <v>195</v>
      </c>
      <c r="E41" s="17">
        <f>L41+M40</f>
        <v>40</v>
      </c>
      <c r="F41" s="17">
        <f>M41+N40+O39</f>
        <v>0</v>
      </c>
      <c r="H41" t="s">
        <v>11</v>
      </c>
      <c r="I41" s="18">
        <f>MAX(B6-J40-K39,0)</f>
        <v>800</v>
      </c>
      <c r="J41" s="16">
        <f t="shared" si="6"/>
        <v>400</v>
      </c>
      <c r="K41" s="16">
        <f t="shared" si="6"/>
        <v>160</v>
      </c>
      <c r="L41" s="16">
        <f t="shared" si="6"/>
        <v>40</v>
      </c>
      <c r="M41" s="16">
        <f t="shared" si="6"/>
        <v>0</v>
      </c>
      <c r="P41" s="5">
        <f>(SUMPRODUCT(L6:O6,J49:M49)+SUMPRODUCT(M5:O5,K48:M48)+SUMPRODUCT(N4:O4,L47:M47))/(SUMPRODUCT(K48:M48)+SUMPRODUCT(J49:M49)+SUMPRODUCT(L47:M47))</f>
        <v>1.5468518518518519E-2</v>
      </c>
      <c r="Q41" s="5">
        <f>(SUMPRODUCT(M6:P6,K49:N49)+SUMPRODUCT(N5:P5,L48:N48)+SUMPRODUCT(O4:P4,M47:N47))/(SUMPRODUCT(L48:N48)+SUMPRODUCT(K49:N49)+SUMPRODUCT(M47:N47))</f>
        <v>1.6434745762711863E-2</v>
      </c>
      <c r="R41" s="5">
        <f>(SUMPRODUCT(N6:Q6,L49:O49)+SUMPRODUCT(O5:Q5,M48:O48)+SUMPRODUCT(P30:Q30,N47:O47))/(SUMPRODUCT(M48:O48)+SUMPRODUCT(L49:O49)+SUMPRODUCT(N47:O47))</f>
        <v>1.7597435897435898E-2</v>
      </c>
      <c r="S41" s="5">
        <f>(SUMPRODUCT(O6:R6,M49:P49)+SUMPRODUCT(P31:R31,N48:P48)+SUMPRODUCT(Q30:R30,O47:P47))/(SUMPRODUCT(N48:P48)+SUMPRODUCT(M49:P49)+SUMPRODUCT(O47:P47))</f>
        <v>1.84E-2</v>
      </c>
      <c r="U41" s="5"/>
      <c r="V41" s="5"/>
      <c r="W41" s="5"/>
      <c r="X41" s="5"/>
    </row>
    <row r="42" spans="1:24">
      <c r="A42" t="s">
        <v>13</v>
      </c>
      <c r="B42" s="19">
        <f>I42+J41+K40+L39</f>
        <v>1250</v>
      </c>
      <c r="C42" s="19">
        <f>J42+K41+L40+M39</f>
        <v>525</v>
      </c>
      <c r="D42" s="19">
        <f>K42+L41+M40</f>
        <v>172</v>
      </c>
      <c r="E42" s="19">
        <f>L42+M41</f>
        <v>33</v>
      </c>
      <c r="F42" s="19">
        <f>M42+N41</f>
        <v>0</v>
      </c>
      <c r="H42" t="s">
        <v>13</v>
      </c>
      <c r="I42" s="18">
        <f>MAX(B7-J41-K40-L39,0)</f>
        <v>660</v>
      </c>
      <c r="J42" s="16">
        <f t="shared" si="6"/>
        <v>330</v>
      </c>
      <c r="K42" s="16">
        <f t="shared" si="6"/>
        <v>132</v>
      </c>
      <c r="L42" s="16">
        <f t="shared" si="6"/>
        <v>33</v>
      </c>
      <c r="M42" s="16">
        <f t="shared" si="6"/>
        <v>0</v>
      </c>
      <c r="O42" t="s">
        <v>31</v>
      </c>
      <c r="P42" s="5">
        <f>(SUMPRODUCT(L7:O7,J50:M50)+SUMPRODUCT(M6:O6,K49:M49)+SUMPRODUCT(N5:O5,L48:M48)+SUMPRODUCT(M47,O4))/(SUMPRODUCT(K49:M49)+SUMPRODUCT(J50:M50)+SUMPRODUCT(L48:M48)+SUMPRODUCT(M47))</f>
        <v>1.6033600000000002E-2</v>
      </c>
      <c r="Q42" s="5" t="e">
        <f>(SUMPRODUCT(M7:P7,K50:N50)+SUMPRODUCT(N6:P6,L49:N49)+SUMPRODUCT(O5:P5,M48:N48)+SUMPRODUCT(N47,P4))/(SUMPRODUCT(L49:N49)+SUMPRODUCT(K50:N50)+SUMPRODUCT(M48:N48)+SUMPRODUCT(N47))</f>
        <v>#VALUE!</v>
      </c>
      <c r="R42" s="5" t="e">
        <f>(SUMPRODUCT(N7:Q7,L50:O50)+SUMPRODUCT(O6:Q6,M49:O49)+SUMPRODUCT(P31:Q31,N48:O48)+SUMPRODUCT(O47,Q30))/(SUMPRODUCT(M49:O49)+SUMPRODUCT(L50:O50)+SUMPRODUCT(N48:O48)+SUMPRODUCT(O47))</f>
        <v>#VALUE!</v>
      </c>
      <c r="S42" s="5" t="e">
        <f>(SUMPRODUCT(O7:R7,M50:P50)+SUMPRODUCT(P32:R32,N49:P49)+SUMPRODUCT(Q31:R31,O48:P48)+SUMPRODUCT(P47,R30))/(SUMPRODUCT(N49:P49)+SUMPRODUCT(M50:P50)+SUMPRODUCT(O48:P48)+SUMPRODUCT(P47))</f>
        <v>#VALUE!</v>
      </c>
      <c r="U42" s="5"/>
      <c r="V42" s="5"/>
      <c r="W42" s="5"/>
      <c r="X42" s="5"/>
    </row>
    <row r="43" spans="1:24">
      <c r="A43" t="s">
        <v>15</v>
      </c>
      <c r="B43" s="17">
        <f>I43+J42+K41+L40+M39</f>
        <v>1380</v>
      </c>
      <c r="C43" s="17">
        <f>J43+K42+L41+M40</f>
        <v>599.5</v>
      </c>
      <c r="D43" s="17">
        <f>K43+L42+M41</f>
        <v>204</v>
      </c>
      <c r="E43" s="17">
        <f>L43+M42</f>
        <v>42.75</v>
      </c>
      <c r="F43" s="17">
        <f>M43</f>
        <v>0</v>
      </c>
      <c r="H43" t="s">
        <v>15</v>
      </c>
      <c r="I43" s="18">
        <f>MAX(B8-J42-K41-L40-M39,0)</f>
        <v>855</v>
      </c>
      <c r="J43" s="16">
        <f t="shared" si="6"/>
        <v>427.5</v>
      </c>
      <c r="K43" s="16">
        <f t="shared" si="6"/>
        <v>171</v>
      </c>
      <c r="L43" s="16">
        <f t="shared" si="6"/>
        <v>42.75</v>
      </c>
      <c r="M43" s="16">
        <f t="shared" si="6"/>
        <v>0</v>
      </c>
      <c r="P43" s="5">
        <f>(SUMPRODUCT(L8:O8,J51:M51)+SUMPRODUCT(M7:O7,K50:M50)+SUMPRODUCT(N6:O6,L49:M49)+SUMPRODUCT(M48,O5))/(SUMPRODUCT(K50:M50)+SUMPRODUCT(J51:M51)+SUMPRODUCT(L49:M49)+SUMPRODUCT(M48))</f>
        <v>1.6374963768115945E-2</v>
      </c>
      <c r="Q43" s="5" t="e">
        <f>(SUMPRODUCT(M8:P8,K51:N51)+SUMPRODUCT(N7:P7,L50:N50)+SUMPRODUCT(O6:P6,M49:N49)+SUMPRODUCT(N48,P5))/(SUMPRODUCT(L50:N50)+SUMPRODUCT(K51:N51)+SUMPRODUCT(M49:N49)+SUMPRODUCT(N48))</f>
        <v>#VALUE!</v>
      </c>
      <c r="R43" s="5" t="e">
        <f>(SUMPRODUCT(N8:Q8,L51:O51)+SUMPRODUCT(O7:Q7,M50:O50)+SUMPRODUCT(P32:Q32,N49:O49)+SUMPRODUCT(O48,Q31))/(SUMPRODUCT(M50:O50)+SUMPRODUCT(L51:O51)+SUMPRODUCT(N49:O49)+SUMPRODUCT(O48))</f>
        <v>#VALUE!</v>
      </c>
      <c r="S43" s="5" t="e">
        <f>(SUMPRODUCT(O8:R8,M51:P51)+SUMPRODUCT(P33:R33,N50:P50)+SUMPRODUCT(Q32:R32,O49:P49)+SUMPRODUCT(P48,R31))/(SUMPRODUCT(N50:P50)+SUMPRODUCT(M51:P51)+SUMPRODUCT(O49:P49)+SUMPRODUCT(P48))</f>
        <v>#VALUE!</v>
      </c>
      <c r="U43" s="5"/>
      <c r="V43" s="5"/>
      <c r="W43" s="5"/>
      <c r="X43" s="5"/>
    </row>
    <row r="45" spans="1:24">
      <c r="B45" s="20" t="s">
        <v>21</v>
      </c>
      <c r="C45" s="20"/>
      <c r="D45" s="20"/>
      <c r="E45" s="20"/>
      <c r="F45" s="20"/>
      <c r="I45" t="s">
        <v>32</v>
      </c>
    </row>
    <row r="46" spans="1:24">
      <c r="B46" s="20" t="s">
        <v>4</v>
      </c>
      <c r="C46" s="20" t="s">
        <v>5</v>
      </c>
      <c r="D46" s="20" t="s">
        <v>6</v>
      </c>
      <c r="E46" s="20" t="s">
        <v>7</v>
      </c>
      <c r="F46" s="20" t="s">
        <v>8</v>
      </c>
      <c r="I46" t="s">
        <v>4</v>
      </c>
      <c r="J46" t="s">
        <v>5</v>
      </c>
      <c r="K46" t="s">
        <v>6</v>
      </c>
      <c r="L46" t="s">
        <v>7</v>
      </c>
      <c r="M46" t="s">
        <v>8</v>
      </c>
    </row>
    <row r="47" spans="1:24">
      <c r="A47" t="s">
        <v>9</v>
      </c>
      <c r="B47" s="20"/>
      <c r="C47" s="20">
        <f t="shared" ref="C47:F51" si="7">B39-C39</f>
        <v>500</v>
      </c>
      <c r="D47" s="20">
        <f t="shared" si="7"/>
        <v>300</v>
      </c>
      <c r="E47" s="20">
        <f t="shared" si="7"/>
        <v>150</v>
      </c>
      <c r="F47" s="20">
        <f t="shared" si="7"/>
        <v>50</v>
      </c>
      <c r="H47" t="s">
        <v>9</v>
      </c>
      <c r="J47">
        <f t="shared" ref="J47:M51" si="8">I39-J39</f>
        <v>500</v>
      </c>
      <c r="K47">
        <f t="shared" si="8"/>
        <v>300</v>
      </c>
      <c r="L47">
        <f t="shared" si="8"/>
        <v>150</v>
      </c>
      <c r="M47">
        <f t="shared" si="8"/>
        <v>50</v>
      </c>
    </row>
    <row r="48" spans="1:24">
      <c r="A48" t="s">
        <v>10</v>
      </c>
      <c r="B48" s="20"/>
      <c r="C48" s="20">
        <f t="shared" si="7"/>
        <v>650</v>
      </c>
      <c r="D48" s="20">
        <f t="shared" si="7"/>
        <v>360</v>
      </c>
      <c r="E48" s="20">
        <f t="shared" si="7"/>
        <v>155</v>
      </c>
      <c r="F48" s="20">
        <f t="shared" si="7"/>
        <v>35</v>
      </c>
      <c r="H48" t="s">
        <v>10</v>
      </c>
      <c r="J48">
        <f t="shared" si="8"/>
        <v>350</v>
      </c>
      <c r="K48">
        <f t="shared" si="8"/>
        <v>210</v>
      </c>
      <c r="L48">
        <f t="shared" si="8"/>
        <v>105</v>
      </c>
      <c r="M48">
        <f t="shared" si="8"/>
        <v>35</v>
      </c>
    </row>
    <row r="49" spans="1:13">
      <c r="A49" t="s">
        <v>11</v>
      </c>
      <c r="B49" s="20"/>
      <c r="C49" s="20">
        <f t="shared" si="7"/>
        <v>760</v>
      </c>
      <c r="D49" s="20">
        <f t="shared" si="7"/>
        <v>395</v>
      </c>
      <c r="E49" s="20">
        <f t="shared" si="7"/>
        <v>155</v>
      </c>
      <c r="F49" s="20">
        <f t="shared" si="7"/>
        <v>40</v>
      </c>
      <c r="H49" t="s">
        <v>11</v>
      </c>
      <c r="J49">
        <f t="shared" si="8"/>
        <v>400</v>
      </c>
      <c r="K49">
        <f t="shared" si="8"/>
        <v>240</v>
      </c>
      <c r="L49">
        <f t="shared" si="8"/>
        <v>120</v>
      </c>
      <c r="M49">
        <f t="shared" si="8"/>
        <v>40</v>
      </c>
    </row>
    <row r="50" spans="1:13">
      <c r="A50" t="s">
        <v>13</v>
      </c>
      <c r="B50" s="20"/>
      <c r="C50" s="20">
        <f t="shared" si="7"/>
        <v>725</v>
      </c>
      <c r="D50" s="20">
        <f t="shared" si="7"/>
        <v>353</v>
      </c>
      <c r="E50" s="20">
        <f t="shared" si="7"/>
        <v>139</v>
      </c>
      <c r="F50" s="20">
        <f t="shared" si="7"/>
        <v>33</v>
      </c>
      <c r="H50" t="s">
        <v>13</v>
      </c>
      <c r="J50">
        <f t="shared" si="8"/>
        <v>330</v>
      </c>
      <c r="K50">
        <f t="shared" si="8"/>
        <v>198</v>
      </c>
      <c r="L50">
        <f t="shared" si="8"/>
        <v>99</v>
      </c>
      <c r="M50">
        <f t="shared" si="8"/>
        <v>33</v>
      </c>
    </row>
    <row r="51" spans="1:13">
      <c r="A51" t="s">
        <v>15</v>
      </c>
      <c r="B51" s="20"/>
      <c r="C51" s="20">
        <f t="shared" si="7"/>
        <v>780.5</v>
      </c>
      <c r="D51" s="20">
        <f t="shared" si="7"/>
        <v>395.5</v>
      </c>
      <c r="E51" s="20">
        <f t="shared" si="7"/>
        <v>161.25</v>
      </c>
      <c r="F51" s="20">
        <f t="shared" si="7"/>
        <v>42.75</v>
      </c>
      <c r="H51" t="s">
        <v>15</v>
      </c>
      <c r="J51">
        <f t="shared" si="8"/>
        <v>427.5</v>
      </c>
      <c r="K51">
        <f t="shared" si="8"/>
        <v>256.5</v>
      </c>
      <c r="L51">
        <f t="shared" si="8"/>
        <v>128.25</v>
      </c>
      <c r="M51">
        <f t="shared" si="8"/>
        <v>42.75</v>
      </c>
    </row>
    <row r="56" spans="1:13">
      <c r="B56" t="s">
        <v>33</v>
      </c>
      <c r="C56" t="s">
        <v>34</v>
      </c>
      <c r="D56" t="s">
        <v>35</v>
      </c>
    </row>
    <row r="57" spans="1:13">
      <c r="B57" t="s">
        <v>36</v>
      </c>
      <c r="C57" t="s">
        <v>37</v>
      </c>
      <c r="D57" t="s">
        <v>38</v>
      </c>
    </row>
    <row r="58" spans="1:13">
      <c r="B58" t="s">
        <v>39</v>
      </c>
      <c r="C58" t="s">
        <v>40</v>
      </c>
    </row>
  </sheetData>
  <pageMargins left="0" right="0" top="0.39370000000000011" bottom="0.39370000000000011" header="0" footer="0"/>
  <headerFooter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FF932-1D1D-4018-B6C5-FD859936520D}">
  <dimension ref="A1:AF35"/>
  <sheetViews>
    <sheetView tabSelected="1" workbookViewId="0">
      <selection activeCell="G18" sqref="G18"/>
    </sheetView>
  </sheetViews>
  <sheetFormatPr defaultRowHeight="12.75"/>
  <cols>
    <col min="8" max="8" width="16.42578125" customWidth="1"/>
  </cols>
  <sheetData>
    <row r="1" spans="1:32">
      <c r="B1" t="s">
        <v>0</v>
      </c>
    </row>
    <row r="2" spans="1:32">
      <c r="B2" t="s">
        <v>1</v>
      </c>
      <c r="D2" t="s">
        <v>2</v>
      </c>
      <c r="K2" t="s">
        <v>3</v>
      </c>
    </row>
    <row r="3" spans="1:32">
      <c r="E3" t="s">
        <v>4</v>
      </c>
      <c r="F3" t="s">
        <v>5</v>
      </c>
      <c r="G3" t="s">
        <v>6</v>
      </c>
      <c r="H3" t="s">
        <v>7</v>
      </c>
      <c r="I3" t="s">
        <v>8</v>
      </c>
      <c r="L3" t="s">
        <v>5</v>
      </c>
      <c r="M3" t="s">
        <v>6</v>
      </c>
      <c r="N3" t="s">
        <v>7</v>
      </c>
      <c r="O3" t="s">
        <v>8</v>
      </c>
    </row>
    <row r="4" spans="1:32">
      <c r="A4" t="s">
        <v>9</v>
      </c>
      <c r="B4">
        <v>1000</v>
      </c>
      <c r="D4" t="s">
        <v>9</v>
      </c>
      <c r="E4" s="1">
        <v>1</v>
      </c>
      <c r="F4" s="1">
        <v>0.5</v>
      </c>
      <c r="G4" s="1">
        <v>0.2</v>
      </c>
      <c r="H4" s="1">
        <v>0.05</v>
      </c>
      <c r="I4" s="1">
        <v>0</v>
      </c>
      <c r="K4" t="s">
        <v>9</v>
      </c>
      <c r="L4" s="2">
        <v>1.2999999999999999E-2</v>
      </c>
      <c r="M4" s="2">
        <v>1.4E-2</v>
      </c>
      <c r="N4" s="2">
        <v>1.6E-2</v>
      </c>
      <c r="O4" s="2">
        <v>1.7000000000000001E-2</v>
      </c>
    </row>
    <row r="5" spans="1:32">
      <c r="A5" t="s">
        <v>10</v>
      </c>
      <c r="B5">
        <v>1200</v>
      </c>
      <c r="D5" t="s">
        <v>10</v>
      </c>
      <c r="E5" s="1">
        <v>1</v>
      </c>
      <c r="F5" s="1">
        <v>0.5</v>
      </c>
      <c r="G5" s="1">
        <v>0.2</v>
      </c>
      <c r="H5" s="1">
        <v>0.05</v>
      </c>
      <c r="I5" s="1">
        <v>0</v>
      </c>
      <c r="K5" t="s">
        <v>10</v>
      </c>
      <c r="L5" s="2">
        <v>1.3599999999999999E-2</v>
      </c>
      <c r="M5" s="2">
        <v>1.46E-2</v>
      </c>
      <c r="N5" s="2">
        <v>1.66E-2</v>
      </c>
      <c r="O5" s="2">
        <v>1.77E-2</v>
      </c>
    </row>
    <row r="6" spans="1:32">
      <c r="A6" t="s">
        <v>11</v>
      </c>
      <c r="B6">
        <v>1350</v>
      </c>
      <c r="D6" t="s">
        <v>11</v>
      </c>
      <c r="E6" s="1">
        <v>1</v>
      </c>
      <c r="F6" s="1">
        <v>0.5</v>
      </c>
      <c r="G6" s="1">
        <v>0.2</v>
      </c>
      <c r="H6" s="1">
        <v>0.05</v>
      </c>
      <c r="I6" s="1">
        <v>0</v>
      </c>
      <c r="K6" t="s">
        <v>11</v>
      </c>
      <c r="L6" s="2">
        <v>1.43E-2</v>
      </c>
      <c r="M6" s="2">
        <v>1.5299999999999999E-2</v>
      </c>
      <c r="N6" s="2">
        <v>1.7299999999999999E-2</v>
      </c>
      <c r="O6" s="2">
        <v>1.84E-2</v>
      </c>
    </row>
    <row r="7" spans="1:32">
      <c r="A7" t="s">
        <v>13</v>
      </c>
      <c r="B7">
        <v>1250</v>
      </c>
      <c r="D7" t="s">
        <v>13</v>
      </c>
      <c r="E7" s="1">
        <v>1</v>
      </c>
      <c r="F7" s="1">
        <v>0.5</v>
      </c>
      <c r="G7" s="1">
        <v>0.2</v>
      </c>
      <c r="H7" s="1">
        <v>0.05</v>
      </c>
      <c r="I7" s="1">
        <v>0</v>
      </c>
      <c r="K7" t="s">
        <v>13</v>
      </c>
      <c r="L7" s="2">
        <v>1.47E-2</v>
      </c>
      <c r="M7" s="2">
        <v>1.5699999999999999E-2</v>
      </c>
      <c r="N7" s="2">
        <v>1.78E-2</v>
      </c>
      <c r="O7" s="2">
        <v>1.89E-2</v>
      </c>
    </row>
    <row r="8" spans="1:32">
      <c r="A8" t="s">
        <v>15</v>
      </c>
      <c r="B8">
        <v>1380</v>
      </c>
      <c r="D8" t="s">
        <v>15</v>
      </c>
      <c r="E8" s="1">
        <v>1</v>
      </c>
      <c r="F8" s="1">
        <v>0.5</v>
      </c>
      <c r="G8" s="1">
        <v>0.2</v>
      </c>
      <c r="H8" s="1">
        <v>0.05</v>
      </c>
      <c r="I8" s="1">
        <v>0</v>
      </c>
      <c r="K8" t="s">
        <v>15</v>
      </c>
      <c r="L8" s="2">
        <v>1.4999999999999999E-2</v>
      </c>
      <c r="M8" s="2">
        <v>1.6E-2</v>
      </c>
      <c r="N8" s="2">
        <v>1.8200000000000001E-2</v>
      </c>
      <c r="O8" s="2">
        <v>1.9199999999999998E-2</v>
      </c>
    </row>
    <row r="11" spans="1:32">
      <c r="B11" t="s">
        <v>16</v>
      </c>
      <c r="I11" t="s">
        <v>17</v>
      </c>
      <c r="P11" t="s">
        <v>18</v>
      </c>
      <c r="V11" t="s">
        <v>19</v>
      </c>
      <c r="AB11" t="s">
        <v>20</v>
      </c>
    </row>
    <row r="12" spans="1:32">
      <c r="B12" t="s">
        <v>4</v>
      </c>
      <c r="C12" t="s">
        <v>5</v>
      </c>
      <c r="D12" t="s">
        <v>6</v>
      </c>
      <c r="E12" t="s">
        <v>7</v>
      </c>
      <c r="F12" t="s">
        <v>8</v>
      </c>
      <c r="I12" t="s">
        <v>4</v>
      </c>
      <c r="J12" t="s">
        <v>5</v>
      </c>
      <c r="K12" t="s">
        <v>6</v>
      </c>
      <c r="L12" t="s">
        <v>7</v>
      </c>
      <c r="M12" t="s">
        <v>8</v>
      </c>
      <c r="P12" t="s">
        <v>4</v>
      </c>
      <c r="Q12" t="s">
        <v>5</v>
      </c>
      <c r="R12" t="s">
        <v>6</v>
      </c>
      <c r="S12" t="s">
        <v>7</v>
      </c>
      <c r="T12" t="s">
        <v>8</v>
      </c>
      <c r="V12" t="s">
        <v>4</v>
      </c>
      <c r="W12" s="4" t="s">
        <v>5</v>
      </c>
      <c r="X12" s="4" t="s">
        <v>6</v>
      </c>
      <c r="Y12" s="4" t="s">
        <v>7</v>
      </c>
      <c r="Z12" s="4" t="s">
        <v>8</v>
      </c>
      <c r="AB12" t="s">
        <v>4</v>
      </c>
      <c r="AC12" s="4" t="s">
        <v>5</v>
      </c>
      <c r="AD12" s="4" t="s">
        <v>6</v>
      </c>
      <c r="AE12" s="4" t="s">
        <v>7</v>
      </c>
      <c r="AF12" s="4" t="s">
        <v>8</v>
      </c>
    </row>
    <row r="13" spans="1:32">
      <c r="A13" t="s">
        <v>9</v>
      </c>
      <c r="B13">
        <f t="shared" ref="B13:F17" si="0">$B4*E4</f>
        <v>1000</v>
      </c>
      <c r="C13">
        <f t="shared" si="0"/>
        <v>500</v>
      </c>
      <c r="D13">
        <f t="shared" si="0"/>
        <v>200</v>
      </c>
      <c r="E13">
        <f t="shared" si="0"/>
        <v>50</v>
      </c>
      <c r="F13">
        <f t="shared" si="0"/>
        <v>0</v>
      </c>
      <c r="H13" t="s">
        <v>9</v>
      </c>
      <c r="I13">
        <f>B13</f>
        <v>1000</v>
      </c>
      <c r="J13">
        <f>C13</f>
        <v>500</v>
      </c>
      <c r="K13">
        <f>D13</f>
        <v>200</v>
      </c>
      <c r="L13">
        <f>E13</f>
        <v>50</v>
      </c>
      <c r="M13">
        <f>F13</f>
        <v>0</v>
      </c>
      <c r="O13" t="s">
        <v>9</v>
      </c>
      <c r="P13" s="5" t="s">
        <v>41</v>
      </c>
      <c r="Q13" s="5">
        <f>SUMPRODUCT(M4:P4,K21:N21)/SUMPRODUCT(K21:N21)</f>
        <v>1.4311111111111111E-2</v>
      </c>
      <c r="R13" s="5">
        <f>SUMPRODUCT(N4:Q4,L21:O21)/SUMPRODUCT(L21:O21)</f>
        <v>1.6E-2</v>
      </c>
      <c r="S13" s="5" t="e">
        <f>SUMPRODUCT(O4:R4,M21:P21)/SUMPRODUCT(M21:P21)</f>
        <v>#DIV/0!</v>
      </c>
      <c r="V13" s="6">
        <v>0</v>
      </c>
      <c r="W13" s="5" t="e">
        <f>((AB13*(C21+D21+E21+F21))-(Z13*F21)-(Y13*E21)-(X13*D21))/C21</f>
        <v>#DIV/0!</v>
      </c>
      <c r="X13" s="5" t="e">
        <f>((AC13*(D21+E21+F21))-(Z13*F21)-(Y13*E21))/D21</f>
        <v>#DIV/0!</v>
      </c>
      <c r="Y13" s="5" t="e">
        <f>((AD13*(E21+F21))-(Z13*F21))/E21</f>
        <v>#DIV/0!</v>
      </c>
      <c r="Z13" s="7" t="e">
        <f>AE13</f>
        <v>#DIV/0!</v>
      </c>
      <c r="AA13" s="8" t="s">
        <v>9</v>
      </c>
      <c r="AB13" s="5">
        <f>(SUMPRODUCT(L4:O4,J21:M21))/(SUMPRODUCT(J21:M21))</f>
        <v>1.3380645161290321E-2</v>
      </c>
      <c r="AC13" s="5">
        <f>(SUMPRODUCT(M4:O4,K21:M21))/(SUMPRODUCT(K21:M21))</f>
        <v>1.4311111111111111E-2</v>
      </c>
      <c r="AD13" s="5">
        <f>(SUMPRODUCT(N4:O4,L21:M21))/(SUMPRODUCT(L21:M21))</f>
        <v>1.6E-2</v>
      </c>
      <c r="AE13" s="5" t="e">
        <f>(SUMPRODUCT(O4,M21))/(SUMPRODUCT(M21))</f>
        <v>#DIV/0!</v>
      </c>
      <c r="AF13" s="6">
        <v>0</v>
      </c>
    </row>
    <row r="14" spans="1:32">
      <c r="A14" t="s">
        <v>10</v>
      </c>
      <c r="B14">
        <f t="shared" si="0"/>
        <v>1200</v>
      </c>
      <c r="C14">
        <f t="shared" si="0"/>
        <v>600</v>
      </c>
      <c r="D14">
        <f t="shared" si="0"/>
        <v>240</v>
      </c>
      <c r="E14">
        <f t="shared" si="0"/>
        <v>60</v>
      </c>
      <c r="F14">
        <f t="shared" si="0"/>
        <v>0</v>
      </c>
      <c r="H14" t="s">
        <v>10</v>
      </c>
      <c r="I14">
        <f>B14-J13</f>
        <v>700</v>
      </c>
      <c r="J14">
        <f>C14-K13</f>
        <v>400</v>
      </c>
      <c r="K14" s="9">
        <f>D14-L13</f>
        <v>190</v>
      </c>
      <c r="L14">
        <f>E14-M13</f>
        <v>60</v>
      </c>
      <c r="M14">
        <f>F14</f>
        <v>0</v>
      </c>
      <c r="O14" t="s">
        <v>10</v>
      </c>
      <c r="P14" s="5">
        <f>(SUMPRODUCT(L5:O5,J22:M22)+SUMPRODUCT(M4:O4,K21:M21))/(SUMPRODUCT(K21:M21)+SUMPRODUCT(J22:M22))</f>
        <v>1.4052380952380952E-2</v>
      </c>
      <c r="Q14" s="5">
        <f>(SUMPRODUCT(M5:P5,K22:N22)+SUMPRODUCT(N4:P4,L21:N21))/(SUMPRODUCT(L21:N21)+SUMPRODUCT(K22:N22))</f>
        <v>1.5077777777777777E-2</v>
      </c>
      <c r="R14" s="5">
        <f>(SUMPRODUCT(N5:Q5,L22:O22)+SUMPRODUCT(O4:Q4,M21:O21))/(SUMPRODUCT(M21:O21)+SUMPRODUCT(L22:O22))</f>
        <v>1.66E-2</v>
      </c>
      <c r="S14" s="5" t="e">
        <f>(SUMPRODUCT(O5:R5,M22:P22)+SUMPRODUCT(P4:R4,N21:P21))/(SUMPRODUCT(N21:P21)+SUMPRODUCT(M22:P22))</f>
        <v>#DIV/0!</v>
      </c>
      <c r="V14" s="6">
        <v>0</v>
      </c>
      <c r="W14" s="5" t="e">
        <f>((AB14*(C22+D22+E22+F22))-(Z14*F22)-(Y14*E22)-(X14*D22))/C22</f>
        <v>#DIV/0!</v>
      </c>
      <c r="X14" s="5" t="e">
        <f>((AC14*(D22+E22+F22))-(Z14*F22)-(Y14*E22))/D22</f>
        <v>#DIV/0!</v>
      </c>
      <c r="Y14" s="10" t="e">
        <f>((AD14*(E22+F22))-(Z14*F22))/E22</f>
        <v>#DIV/0!</v>
      </c>
      <c r="Z14" s="7" t="e">
        <f>AE14</f>
        <v>#DIV/0!</v>
      </c>
      <c r="AA14" s="8" t="s">
        <v>10</v>
      </c>
      <c r="AB14" s="5" t="e">
        <f>(SUMPRODUCT(L5:O5,J22:M22)+SUMPRODUCT(X13:Z13,D21:F21))/(SUMPRODUCT(D21:F21)+SUMPRODUCT(J22:M22))</f>
        <v>#DIV/0!</v>
      </c>
      <c r="AC14" s="5" t="e">
        <f>(SUMPRODUCT(M5:O5,K22:M22)+SUMPRODUCT(Y13:Z13,E21:F21))/(SUMPRODUCT(E21:F21)+SUMPRODUCT(K22:M22))</f>
        <v>#DIV/0!</v>
      </c>
      <c r="AD14" s="10" t="e">
        <f>(SUMPRODUCT(N5:O5,L22:M22)+SUMPRODUCT(Z13,F21))/(SUMPRODUCT(F21)+SUMPRODUCT(L22:M22))</f>
        <v>#DIV/0!</v>
      </c>
      <c r="AE14" s="5" t="e">
        <f>(SUMPRODUCT(O5,M22))/(SUMPRODUCT(M22))</f>
        <v>#DIV/0!</v>
      </c>
      <c r="AF14" s="6">
        <v>0</v>
      </c>
    </row>
    <row r="15" spans="1:32">
      <c r="A15" t="s">
        <v>11</v>
      </c>
      <c r="B15">
        <f t="shared" si="0"/>
        <v>1350</v>
      </c>
      <c r="C15">
        <f t="shared" si="0"/>
        <v>675</v>
      </c>
      <c r="D15">
        <f t="shared" si="0"/>
        <v>270</v>
      </c>
      <c r="E15">
        <f t="shared" si="0"/>
        <v>67.5</v>
      </c>
      <c r="F15">
        <f t="shared" si="0"/>
        <v>0</v>
      </c>
      <c r="H15" t="s">
        <v>11</v>
      </c>
      <c r="I15">
        <f>B15-J14-K13</f>
        <v>750</v>
      </c>
      <c r="J15">
        <f>C15-K14-L13</f>
        <v>435</v>
      </c>
      <c r="K15">
        <f>D15-L14-M13</f>
        <v>210</v>
      </c>
      <c r="L15">
        <f>E15-M14</f>
        <v>67.5</v>
      </c>
      <c r="M15">
        <f>F15</f>
        <v>0</v>
      </c>
      <c r="O15" t="s">
        <v>11</v>
      </c>
      <c r="P15" s="5">
        <f>(SUMPRODUCT(L6:O6,J23:M23)+SUMPRODUCT(M5:O5,K22:M22)+SUMPRODUCT(N4:O4,L21:M21))/(SUMPRODUCT(K22:M22)+SUMPRODUCT(J23:M23)+SUMPRODUCT(L21:M21))</f>
        <v>1.4781000000000001E-2</v>
      </c>
      <c r="Q15" s="5">
        <f>(SUMPRODUCT(M6:P6,K23:N23)+SUMPRODUCT(N5:P5,L22:N22)+SUMPRODUCT(O4:P4,M21:N21))/(SUMPRODUCT(L22:N22)+SUMPRODUCT(K23:N23)+SUMPRODUCT(M21:N21))</f>
        <v>1.5781632653061223E-2</v>
      </c>
      <c r="R15" s="5">
        <f>(SUMPRODUCT(N6:Q6,L23:O23)+SUMPRODUCT(O5:Q5,M22:O22)+SUMPRODUCT(P4:Q4,N21:O21))/(SUMPRODUCT(M22:O22)+SUMPRODUCT(L23:O23)+SUMPRODUCT(N21:O21))</f>
        <v>1.7299999999999999E-2</v>
      </c>
      <c r="S15" s="5" t="e">
        <f>(SUMPRODUCT(O6:R6,M23:P23)+SUMPRODUCT(P5:R5,N22:P22)+SUMPRODUCT(Q4:R4,O21:P21))/(SUMPRODUCT(N22:P22)+SUMPRODUCT(M23:P23)+SUMPRODUCT(O21:P21))</f>
        <v>#DIV/0!</v>
      </c>
      <c r="V15" s="6">
        <v>0</v>
      </c>
      <c r="W15" s="5" t="e">
        <f>((AB15*(C23+D23+E23+F23))-(Z15*F23)-(Y15*E23)-(X15*D23))/C23</f>
        <v>#DIV/0!</v>
      </c>
      <c r="X15" s="5" t="e">
        <f>((AC15*(D23+E23+F23))-(Z15*F23)-(Y15*E23))/D23</f>
        <v>#DIV/0!</v>
      </c>
      <c r="Y15" s="5" t="e">
        <f>((AD15*(E23+F23))-(Z15*F23))/E23</f>
        <v>#DIV/0!</v>
      </c>
      <c r="Z15" s="7" t="e">
        <f>AE15</f>
        <v>#DIV/0!</v>
      </c>
      <c r="AA15" s="8" t="s">
        <v>11</v>
      </c>
      <c r="AB15" s="5" t="e">
        <f>(SUMPRODUCT(L6:O6,J23:M23)+SUMPRODUCT(X14:Z14,D22:F22))/(SUMPRODUCT(D22:F22)+SUMPRODUCT(J23:M23))</f>
        <v>#DIV/0!</v>
      </c>
      <c r="AC15" s="5" t="e">
        <f>(SUMPRODUCT(M6:O6,K23:M23)+SUMPRODUCT(Y14:Z14,E22:F22))/(SUMPRODUCT(E22:F22)+SUMPRODUCT(K23:M23))</f>
        <v>#DIV/0!</v>
      </c>
      <c r="AD15" s="5" t="e">
        <f>(SUMPRODUCT(N6:O6,L23:M23)+SUMPRODUCT(Z14,F22))/(SUMPRODUCT(F22)+SUMPRODUCT(L23:M23))</f>
        <v>#DIV/0!</v>
      </c>
      <c r="AE15" s="5" t="e">
        <f>(SUMPRODUCT(O6,M23))/(SUMPRODUCT(M23))</f>
        <v>#DIV/0!</v>
      </c>
      <c r="AF15" s="6">
        <v>0</v>
      </c>
    </row>
    <row r="16" spans="1:32">
      <c r="A16" t="s">
        <v>13</v>
      </c>
      <c r="B16">
        <v>1250</v>
      </c>
      <c r="C16">
        <f t="shared" si="0"/>
        <v>625</v>
      </c>
      <c r="D16">
        <f t="shared" si="0"/>
        <v>250</v>
      </c>
      <c r="E16">
        <f t="shared" si="0"/>
        <v>62.5</v>
      </c>
      <c r="F16">
        <f t="shared" si="0"/>
        <v>0</v>
      </c>
      <c r="H16" t="s">
        <v>13</v>
      </c>
      <c r="I16">
        <f>B16-J15-K14-L13</f>
        <v>575</v>
      </c>
      <c r="J16">
        <f>C16-K15-L14-M13</f>
        <v>355</v>
      </c>
      <c r="K16" s="11">
        <f>D16-L15-M14</f>
        <v>182.5</v>
      </c>
      <c r="L16" s="11">
        <f>E16-M15</f>
        <v>62.5</v>
      </c>
      <c r="M16" s="11">
        <f>F16</f>
        <v>0</v>
      </c>
      <c r="O16" t="s">
        <v>13</v>
      </c>
      <c r="P16" s="5">
        <f t="shared" ref="P16:S17" si="1">(SUMPRODUCT(L7:O7,J24:M24)+SUMPRODUCT(M6:O6,K23:M23)+SUMPRODUCT(N5:O5,L22:M22)+SUMPRODUCT(M21,O4))/(SUMPRODUCT(K23:M23)+SUMPRODUCT(J24:M24)+SUMPRODUCT(L22:M22)+SUMPRODUCT(M21))</f>
        <v>1.5251225658648339E-2</v>
      </c>
      <c r="Q16" s="5" t="e">
        <f t="shared" si="1"/>
        <v>#VALUE!</v>
      </c>
      <c r="R16" s="5" t="e">
        <f t="shared" si="1"/>
        <v>#VALUE!</v>
      </c>
      <c r="S16" s="5" t="e">
        <f t="shared" si="1"/>
        <v>#VALUE!</v>
      </c>
      <c r="V16" s="6">
        <v>0</v>
      </c>
      <c r="W16" s="5" t="e">
        <f>((AB16*(C24+D24+E24+F24))-(Z16*F24)-(Y16*E24)-(X16*D24))/C24</f>
        <v>#DIV/0!</v>
      </c>
      <c r="X16" s="5" t="e">
        <f>((AC16*(D24+E24+F24))-(Z16*F24)-(Y16*E24))/D24</f>
        <v>#DIV/0!</v>
      </c>
      <c r="Y16" s="5" t="e">
        <f>((AD16*(E24+F24))-(Z16*F24))/E24</f>
        <v>#DIV/0!</v>
      </c>
      <c r="Z16" s="7" t="e">
        <f>AE16</f>
        <v>#DIV/0!</v>
      </c>
      <c r="AA16" s="8" t="s">
        <v>13</v>
      </c>
      <c r="AB16" s="5" t="e">
        <f>(SUMPRODUCT(L7:O7,J24:M24)+SUMPRODUCT(X15:Z15,D23:F23))/(SUMPRODUCT(D23:F23)+SUMPRODUCT(J24:M24))</f>
        <v>#DIV/0!</v>
      </c>
      <c r="AC16" s="5" t="e">
        <f>(SUMPRODUCT(M7:O7,K24:M24)+SUMPRODUCT(Y15:Z15,E23:F23))/(SUMPRODUCT(E23:F23)+SUMPRODUCT(K24:M24))</f>
        <v>#DIV/0!</v>
      </c>
      <c r="AD16" s="5" t="e">
        <f>(SUMPRODUCT(N7:O7,L24:M24)+SUMPRODUCT(Z15,F23))/(SUMPRODUCT(F23)+SUMPRODUCT(L24:M24))</f>
        <v>#DIV/0!</v>
      </c>
      <c r="AE16" s="5" t="e">
        <f>(SUMPRODUCT(O7,M24))/(SUMPRODUCT(M24))</f>
        <v>#DIV/0!</v>
      </c>
      <c r="AF16" s="6">
        <v>0</v>
      </c>
    </row>
    <row r="17" spans="1:32">
      <c r="A17" t="s">
        <v>15</v>
      </c>
      <c r="B17">
        <f>$B8*E8</f>
        <v>1380</v>
      </c>
      <c r="C17">
        <f t="shared" si="0"/>
        <v>690</v>
      </c>
      <c r="D17">
        <f t="shared" si="0"/>
        <v>276</v>
      </c>
      <c r="E17">
        <f t="shared" si="0"/>
        <v>69</v>
      </c>
      <c r="F17">
        <f t="shared" si="0"/>
        <v>0</v>
      </c>
      <c r="H17" t="s">
        <v>15</v>
      </c>
      <c r="I17">
        <f>B17-J16-K15-L14-M13</f>
        <v>755</v>
      </c>
      <c r="J17" s="11">
        <f>C17-K16-L15-M14-U13</f>
        <v>440</v>
      </c>
      <c r="K17" s="11">
        <f>D17-L16-M15</f>
        <v>213.5</v>
      </c>
      <c r="L17" s="11">
        <f>E17-M16</f>
        <v>69</v>
      </c>
      <c r="M17" s="11">
        <f>F17</f>
        <v>0</v>
      </c>
      <c r="O17" t="s">
        <v>15</v>
      </c>
      <c r="P17" s="5">
        <f t="shared" si="1"/>
        <v>1.620965147453083E-2</v>
      </c>
      <c r="Q17" s="5" t="e">
        <f t="shared" si="1"/>
        <v>#VALUE!</v>
      </c>
      <c r="R17" s="5" t="e">
        <f t="shared" si="1"/>
        <v>#VALUE!</v>
      </c>
      <c r="S17" s="5" t="e">
        <f t="shared" si="1"/>
        <v>#VALUE!</v>
      </c>
      <c r="V17" s="6">
        <v>0</v>
      </c>
      <c r="W17" s="5" t="e">
        <f>((AB17*(C25+D25+E25+F25))-(Z17*F25)-(Y17*E25)-(X17*D25))/C25</f>
        <v>#DIV/0!</v>
      </c>
      <c r="X17" s="5" t="e">
        <f>((AC17*(D25+E25+F25))-(Z17*F25)-(Y17*E25))/D25</f>
        <v>#DIV/0!</v>
      </c>
      <c r="Y17" s="5" t="e">
        <f>((AD17*(E25+F25))-(Z17*F25))/E25</f>
        <v>#DIV/0!</v>
      </c>
      <c r="Z17" s="7" t="e">
        <f>AE17</f>
        <v>#VALUE!</v>
      </c>
      <c r="AA17" s="8" t="s">
        <v>15</v>
      </c>
      <c r="AB17" s="5" t="e">
        <f>(SUMPRODUCT(L8:O8,J25:M25)+SUMPRODUCT(X16:Z16,D24:F24))/(SUMPRODUCT(D24:F24)+SUMPRODUCT(J25:M25))</f>
        <v>#DIV/0!</v>
      </c>
      <c r="AC17" s="5" t="e">
        <f>(SUMPRODUCT(M8:O8,K25:M25)+SUMPRODUCT(Y16:Z16,E24:F24))/(SUMPRODUCT(E24:F24)+SUMPRODUCT(K25:M25))</f>
        <v>#DIV/0!</v>
      </c>
      <c r="AD17" s="5" t="e">
        <f>(SUMPRODUCT(N8:O8,L25:M25)+SUMPRODUCT(Z16,F24))/(SUMPRODUCT(F24)+SUMPRODUCT(L25:M25))</f>
        <v>#DIV/0!</v>
      </c>
      <c r="AE17" s="5" t="e">
        <f>(SUMPRODUCT(O8,M25))/(SUMPRODUCT(M25))</f>
        <v>#VALUE!</v>
      </c>
      <c r="AF17" s="6">
        <v>0</v>
      </c>
    </row>
    <row r="20" spans="1:32">
      <c r="B20" cm="1">
        <f t="array" ref="B20:F24">_xll.FTP_STOCK_AMORT(B4:B8,E4:I8,L4:O8,0)</f>
        <v>1000</v>
      </c>
      <c r="C20">
        <v>500</v>
      </c>
      <c r="D20">
        <v>200</v>
      </c>
      <c r="E20">
        <v>50</v>
      </c>
      <c r="F20">
        <v>0</v>
      </c>
      <c r="I20" cm="1">
        <f t="array" ref="I20:M24">_xll.FTP_STOCK_AMORT(B4:B8,E4:I8,L4:O8,1)</f>
        <v>1000</v>
      </c>
      <c r="J20">
        <v>500</v>
      </c>
      <c r="K20">
        <v>200</v>
      </c>
      <c r="L20">
        <v>50</v>
      </c>
      <c r="M20">
        <v>0</v>
      </c>
    </row>
    <row r="21" spans="1:32">
      <c r="B21">
        <v>1200</v>
      </c>
      <c r="C21">
        <v>600</v>
      </c>
      <c r="D21">
        <v>240</v>
      </c>
      <c r="E21">
        <v>60</v>
      </c>
      <c r="F21">
        <v>0</v>
      </c>
      <c r="I21">
        <v>1200</v>
      </c>
      <c r="J21">
        <v>550</v>
      </c>
      <c r="K21">
        <v>190</v>
      </c>
      <c r="L21">
        <v>35</v>
      </c>
      <c r="M21">
        <v>0</v>
      </c>
    </row>
    <row r="22" spans="1:32">
      <c r="B22">
        <v>1350</v>
      </c>
      <c r="C22">
        <v>675</v>
      </c>
      <c r="D22">
        <v>270</v>
      </c>
      <c r="E22">
        <v>67.5</v>
      </c>
      <c r="F22">
        <v>0</v>
      </c>
      <c r="I22">
        <v>1350</v>
      </c>
      <c r="J22">
        <v>590</v>
      </c>
      <c r="K22">
        <v>195</v>
      </c>
      <c r="L22">
        <v>40</v>
      </c>
      <c r="M22">
        <v>0</v>
      </c>
    </row>
    <row r="23" spans="1:32">
      <c r="B23">
        <v>1250</v>
      </c>
      <c r="C23">
        <v>625</v>
      </c>
      <c r="D23">
        <v>250</v>
      </c>
      <c r="E23">
        <v>62.5</v>
      </c>
      <c r="F23">
        <v>0</v>
      </c>
      <c r="I23">
        <v>1250</v>
      </c>
      <c r="J23">
        <v>525</v>
      </c>
      <c r="K23">
        <v>172</v>
      </c>
      <c r="L23">
        <v>33</v>
      </c>
      <c r="M23">
        <v>0</v>
      </c>
    </row>
    <row r="24" spans="1:32">
      <c r="B24">
        <v>1380</v>
      </c>
      <c r="C24">
        <v>690</v>
      </c>
      <c r="D24">
        <v>276</v>
      </c>
      <c r="E24">
        <v>69</v>
      </c>
      <c r="F24">
        <v>0</v>
      </c>
      <c r="I24">
        <v>1380</v>
      </c>
      <c r="J24">
        <v>599.5</v>
      </c>
      <c r="K24">
        <v>204</v>
      </c>
      <c r="L24">
        <v>42.75</v>
      </c>
      <c r="M24">
        <v>0</v>
      </c>
    </row>
    <row r="27" spans="1:32">
      <c r="B27" t="s">
        <v>42</v>
      </c>
    </row>
    <row r="28" spans="1:32">
      <c r="H28" s="21" cm="1">
        <f t="array" ref="H28:L32">_xll.FTP_MARKET_RATE(B4:B8,E4:I8,L4:O8,0)</f>
        <v>0</v>
      </c>
      <c r="I28" s="21">
        <v>1.2999999999999999E-2</v>
      </c>
      <c r="J28" s="21">
        <v>1.3999999999999997E-2</v>
      </c>
      <c r="K28" s="21">
        <v>1.6E-2</v>
      </c>
      <c r="L28" s="21">
        <v>1.7000000000000001E-2</v>
      </c>
      <c r="M28" s="21"/>
      <c r="N28" s="21"/>
      <c r="O28" s="21" cm="1">
        <f t="array" ref="O28:S32">_xll.FTP_MARKET_RATE(B4:B8,E4:I8,L4:O8,1)</f>
        <v>0</v>
      </c>
      <c r="P28" s="21">
        <v>1.2999999999999999E-2</v>
      </c>
      <c r="Q28" s="21">
        <v>1.3999999999999997E-2</v>
      </c>
      <c r="R28" s="21">
        <v>1.6E-2</v>
      </c>
      <c r="S28" s="21">
        <v>1.7000000000000001E-2</v>
      </c>
    </row>
    <row r="29" spans="1:32">
      <c r="H29" s="21">
        <v>0</v>
      </c>
      <c r="I29" s="21">
        <v>1.38E-2</v>
      </c>
      <c r="J29" s="21">
        <v>1.5183333333333337E-2</v>
      </c>
      <c r="K29" s="21">
        <v>1.6711111111111111E-2</v>
      </c>
      <c r="L29" s="21">
        <v>1.77E-2</v>
      </c>
      <c r="M29" s="21"/>
      <c r="N29" s="21"/>
      <c r="O29" s="21">
        <v>0</v>
      </c>
      <c r="P29" s="21">
        <v>1.3784615384615386E-2</v>
      </c>
      <c r="Q29" s="21">
        <v>1.5183333333333332E-2</v>
      </c>
      <c r="R29" s="21">
        <v>1.6729032258064519E-2</v>
      </c>
      <c r="S29" s="21">
        <v>1.77E-2</v>
      </c>
    </row>
    <row r="30" spans="1:32">
      <c r="H30" s="21">
        <v>0</v>
      </c>
      <c r="I30" s="21">
        <v>1.4771111111111108E-2</v>
      </c>
      <c r="J30" s="21">
        <v>1.5927160493827166E-2</v>
      </c>
      <c r="K30" s="21">
        <v>1.7418518518518517E-2</v>
      </c>
      <c r="L30" s="21">
        <v>1.84E-2</v>
      </c>
      <c r="M30" s="21"/>
      <c r="N30" s="21"/>
      <c r="O30" s="21">
        <v>0</v>
      </c>
      <c r="P30" s="21">
        <v>1.4718421052631579E-2</v>
      </c>
      <c r="Q30" s="21">
        <v>1.5860759493670887E-2</v>
      </c>
      <c r="R30" s="21">
        <v>1.739032258064516E-2</v>
      </c>
      <c r="S30" s="21">
        <v>1.84E-2</v>
      </c>
    </row>
    <row r="31" spans="1:32">
      <c r="H31" s="21">
        <v>0</v>
      </c>
      <c r="I31" s="21">
        <v>1.5495200000000001E-2</v>
      </c>
      <c r="J31" s="21">
        <v>1.6627999999999997E-2</v>
      </c>
      <c r="K31" s="21">
        <v>1.8016000000000004E-2</v>
      </c>
      <c r="L31" s="21">
        <v>1.89E-2</v>
      </c>
      <c r="M31" s="21"/>
      <c r="N31" s="21"/>
      <c r="O31" s="21">
        <v>0</v>
      </c>
      <c r="P31" s="21">
        <v>1.5332413793103452E-2</v>
      </c>
      <c r="Q31" s="21">
        <v>1.6442209631728041E-2</v>
      </c>
      <c r="R31" s="21">
        <v>1.7972661870503601E-2</v>
      </c>
      <c r="S31" s="21">
        <v>1.89E-2</v>
      </c>
    </row>
    <row r="32" spans="1:32">
      <c r="H32" s="21">
        <v>0</v>
      </c>
      <c r="I32" s="21">
        <v>1.5884782608695653E-2</v>
      </c>
      <c r="J32" s="21">
        <v>1.6913043478260871E-2</v>
      </c>
      <c r="K32" s="21">
        <v>1.8411352657004828E-2</v>
      </c>
      <c r="L32" s="21">
        <v>1.9199999999999998E-2</v>
      </c>
      <c r="M32" s="21"/>
      <c r="N32" s="21"/>
      <c r="O32" s="21">
        <v>0</v>
      </c>
      <c r="P32" s="21">
        <v>1.5652274183215895E-2</v>
      </c>
      <c r="Q32" s="21">
        <v>1.6693299620733248E-2</v>
      </c>
      <c r="R32" s="21">
        <v>1.8343255813953491E-2</v>
      </c>
      <c r="S32" s="21">
        <v>1.9199999999999998E-2</v>
      </c>
    </row>
    <row r="33" spans="7:19"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</row>
    <row r="35" spans="7:19">
      <c r="G35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5555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Feuille1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 CT</dc:creator>
  <cp:lastModifiedBy>CT CT</cp:lastModifiedBy>
  <cp:revision>40</cp:revision>
  <dcterms:created xsi:type="dcterms:W3CDTF">2025-04-02T21:59:57Z</dcterms:created>
  <dcterms:modified xsi:type="dcterms:W3CDTF">2026-02-10T05:18:03Z</dcterms:modified>
</cp:coreProperties>
</file>