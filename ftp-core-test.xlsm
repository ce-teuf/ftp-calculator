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Feuille1" sheetId="1" state="visible" r:id="rId3"/>
    <sheet name="Sheet1" sheetId="2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<sst xmlns="http://schemas.openxmlformats.org/spreadsheetml/2006/main" count="289" uniqueCount="44">
  <si>
    <t xml:space="preserve">stock target</t>
  </si>
  <si>
    <t xml:space="preserve">Outs</t>
  </si>
  <si>
    <t xml:space="preserve">Profile</t>
  </si>
  <si>
    <t xml:space="preserve">Rate</t>
  </si>
  <si>
    <t xml:space="preserve">P0</t>
  </si>
  <si>
    <t xml:space="preserve">P1</t>
  </si>
  <si>
    <t xml:space="preserve">P2</t>
  </si>
  <si>
    <t xml:space="preserve">P3</t>
  </si>
  <si>
    <t xml:space="preserve">P4</t>
  </si>
  <si>
    <t xml:space="preserve">M0</t>
  </si>
  <si>
    <t xml:space="preserve">M1</t>
  </si>
  <si>
    <t xml:space="preserve">M2</t>
  </si>
  <si>
    <t xml:space="preserve">denom2</t>
  </si>
  <si>
    <t xml:space="preserve">M3</t>
  </si>
  <si>
    <t xml:space="preserve">denom1</t>
  </si>
  <si>
    <t xml:space="preserve">M4</t>
  </si>
  <si>
    <t xml:space="preserve">stock amort</t>
  </si>
  <si>
    <t xml:space="preserve">stock var</t>
  </si>
  <si>
    <t xml:space="preserve">ftp rate</t>
  </si>
  <si>
    <t xml:space="preserve">market rate</t>
  </si>
  <si>
    <t xml:space="preserve">ftp rate computation methode 2</t>
  </si>
  <si>
    <t xml:space="preserve">stock install</t>
  </si>
  <si>
    <t xml:space="preserve">stock var installment</t>
  </si>
  <si>
    <t xml:space="preserve">ftp int</t>
  </si>
  <si>
    <t xml:space="preserve">j</t>
  </si>
  <si>
    <t xml:space="preserve">given row</t>
  </si>
  <si>
    <t xml:space="preserve">ftp</t>
  </si>
  <si>
    <t xml:space="preserve">mrate</t>
  </si>
  <si>
    <t xml:space="preserve">market</t>
  </si>
  <si>
    <t xml:space="preserve">reprise</t>
  </si>
  <si>
    <t xml:space="preserve">new prod</t>
  </si>
  <si>
    <t xml:space="preserve">il semble yavoir une sortie de stock exeptionelle, faites attention</t>
  </si>
  <si>
    <t xml:space="preserve">new prod installment</t>
  </si>
  <si>
    <t xml:space="preserve">2,0</t>
  </si>
  <si>
    <t xml:space="preserve">1,1</t>
  </si>
  <si>
    <t xml:space="preserve">0,2</t>
  </si>
  <si>
    <t xml:space="preserve">3,2</t>
  </si>
  <si>
    <t xml:space="preserve">2,3</t>
  </si>
  <si>
    <t xml:space="preserve">1,4</t>
  </si>
  <si>
    <t xml:space="preserve">1,3</t>
  </si>
  <si>
    <t xml:space="preserve">0,4</t>
  </si>
  <si>
    <t xml:space="preserve"> </t>
  </si>
  <si>
    <t xml:space="preserve">\</t>
  </si>
  <si>
    <t xml:space="preserve">#ERR: Unable to cast object of type 'ExcelDna.Integration.ExcelMissing' to type 'System.IConvertible'.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</si>
</sst>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#,##0.00"/>
    <numFmt numFmtId="166" formatCode="0.0000\ %"/>
    <numFmt numFmtId="167" formatCode="0.000"/>
    <numFmt numFmtId="168" formatCode="0.00\ %"/>
    <numFmt numFmtId="169" formatCode="0.00000"/>
    <numFmt numFmtId="170" formatCode="#,##0.0"/>
    <numFmt numFmtId="171" formatCode="0.0000%"/>
    <numFmt numFmtId="172" formatCode="0%"/>
  </numFmts>
  <fonts count="13">
    <font>
      <sz val="10"/>
      <color theme="1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color rgb="FFFFFFFF"/>
      <name val="Arial"/>
      <family val="0"/>
      <charset val="1"/>
    </font>
    <font>
      <b val="true"/>
      <sz val="10"/>
      <color theme="1"/>
      <name val="Arial"/>
      <family val="0"/>
      <charset val="1"/>
    </font>
    <font>
      <i val="true"/>
      <sz val="10"/>
      <color rgb="FF808080"/>
      <name val="Arial"/>
      <family val="0"/>
      <charset val="1"/>
    </font>
    <font>
      <b val="true"/>
      <sz val="24"/>
      <color rgb="FF000000"/>
      <name val="Arial"/>
      <family val="0"/>
      <charset val="1"/>
    </font>
    <font>
      <u val="single"/>
      <sz val="10"/>
      <color rgb="FF0000EE"/>
      <name val="Arial"/>
      <family val="0"/>
      <charset val="1"/>
    </font>
    <font>
      <b val="true"/>
      <i val="true"/>
      <u val="single"/>
      <sz val="10"/>
      <color theme="1"/>
      <name val="Arial"/>
      <family val="0"/>
      <charset val="1"/>
    </font>
    <font>
      <sz val="10"/>
      <color rgb="FFCC0000"/>
      <name val="Arial"/>
      <family val="0"/>
      <charset val="1"/>
    </font>
    <font>
      <u val="single"/>
      <sz val="10"/>
      <color theme="1"/>
      <name val="Arial"/>
      <family val="0"/>
      <charset val="1"/>
    </font>
    <font>
      <sz val="10"/>
      <color rgb="FFC9211E"/>
      <name val="Arial"/>
      <family val="0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F7D1D5"/>
      </patternFill>
    </fill>
    <fill>
      <patternFill patternType="solid">
        <fgColor rgb="FFCC0000"/>
        <bgColor rgb="FFC9211E"/>
      </patternFill>
    </fill>
    <fill>
      <patternFill patternType="solid">
        <fgColor rgb="FFD4EA6B"/>
        <bgColor rgb="FFFFFF6D"/>
      </patternFill>
    </fill>
    <fill>
      <patternFill patternType="solid">
        <fgColor rgb="FFFFFF6D"/>
        <bgColor rgb="FFD4EA6B"/>
      </patternFill>
    </fill>
    <fill>
      <patternFill patternType="solid">
        <fgColor rgb="FFAFD095"/>
        <bgColor rgb="FFD4EA6B"/>
      </patternFill>
    </fill>
    <fill>
      <patternFill patternType="solid">
        <fgColor rgb="FFF6F9D4"/>
        <bgColor rgb="FFFFFFFF"/>
      </patternFill>
    </fill>
    <fill>
      <patternFill patternType="solid">
        <fgColor rgb="FFF7D1D5"/>
        <bgColor rgb="FFDDDDDD"/>
      </patternFill>
    </fill>
  </fills>
  <borders count="1">
    <border diagonalUp="false" diagonalDown="false">
      <left/>
      <right/>
      <top/>
      <bottom/>
      <diagonal/>
    </border>
  </borders>
  <cellStyleXfs count="3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2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4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71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1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Accent 1 5" xfId="20"/>
    <cellStyle name="Accent 2 6" xfId="21"/>
    <cellStyle name="Accent 3 7" xfId="22"/>
    <cellStyle name="Accent 4" xfId="23"/>
    <cellStyle name="Error 8" xfId="24"/>
    <cellStyle name="Footnote 9" xfId="25"/>
    <cellStyle name="Heading 10" xfId="26"/>
    <cellStyle name="Hyperlink 11" xfId="27"/>
    <cellStyle name="Result 12" xfId="28"/>
    <cellStyle name="Status 13" xfId="29"/>
    <cellStyle name="Text 14" xfId="30"/>
    <cellStyle name="Warning 15" xfId="31"/>
  </cellStyles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FD095"/>
      <rgbColor rgb="FF808080"/>
      <rgbColor rgb="FF9999FF"/>
      <rgbColor rgb="FF993366"/>
      <rgbColor rgb="FFF6F9D4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4EA6B"/>
      <rgbColor rgb="FFFFFF6D"/>
      <rgbColor rgb="FF99CCFF"/>
      <rgbColor rgb="FFFF99CC"/>
      <rgbColor rgb="FFCC99FF"/>
      <rgbColor rgb="FFF7D1D5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C9211E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F77"/>
  <sheetViews>
    <sheetView showFormulas="false" showGridLines="true" showRowColHeaders="true" showZeros="true" rightToLeft="false" tabSelected="true" showOutlineSymbols="true" defaultGridColor="true" view="normal" topLeftCell="A19" colorId="64" zoomScale="100" zoomScaleNormal="100" zoomScalePageLayoutView="100" workbookViewId="0">
      <selection pane="topLeft" activeCell="O45" activeCellId="0" sqref="O45"/>
    </sheetView>
  </sheetViews>
  <sheetFormatPr defaultColWidth="8.6796875" defaultRowHeight="12.75" customHeight="true" zeroHeight="false" outlineLevelRow="0" outlineLevelCol="0"/>
  <cols>
    <col collapsed="false" customWidth="true" hidden="false" outlineLevel="0" max="9" min="1" style="0" width="12.15"/>
    <col collapsed="false" customWidth="true" hidden="false" outlineLevel="0" max="10" min="10" style="0" width="14.14"/>
    <col collapsed="false" customWidth="true" hidden="false" outlineLevel="0" max="20" min="11" style="0" width="12.15"/>
    <col collapsed="false" customWidth="true" hidden="false" outlineLevel="0" max="26" min="21" style="0" width="11.71"/>
    <col collapsed="false" customWidth="true" hidden="false" outlineLevel="0" max="32" min="27" style="0" width="12.15"/>
  </cols>
  <sheetData>
    <row r="1" customFormat="false" ht="12.75" hidden="false" customHeight="false" outlineLevel="0" collapsed="false">
      <c r="B1" s="0" t="s">
        <v>0</v>
      </c>
    </row>
    <row r="2" customFormat="false" ht="12.75" hidden="false" customHeight="false" outlineLevel="0" collapsed="false">
      <c r="B2" s="0" t="s">
        <v>1</v>
      </c>
      <c r="D2" s="0" t="s">
        <v>2</v>
      </c>
      <c r="K2" s="0" t="s">
        <v>3</v>
      </c>
    </row>
    <row r="3" customFormat="false" ht="12.75" hidden="false" customHeight="false" outlineLevel="0" collapsed="false">
      <c r="E3" s="0" t="s">
        <v>4</v>
      </c>
      <c r="F3" s="0" t="s">
        <v>5</v>
      </c>
      <c r="G3" s="0" t="s">
        <v>6</v>
      </c>
      <c r="H3" s="0" t="s">
        <v>7</v>
      </c>
      <c r="I3" s="0" t="s">
        <v>8</v>
      </c>
      <c r="L3" s="0" t="s">
        <v>5</v>
      </c>
      <c r="M3" s="0" t="s">
        <v>6</v>
      </c>
      <c r="N3" s="0" t="s">
        <v>7</v>
      </c>
      <c r="O3" s="0" t="s">
        <v>8</v>
      </c>
    </row>
    <row r="4" customFormat="false" ht="12.75" hidden="false" customHeight="false" outlineLevel="0" collapsed="false">
      <c r="A4" s="0" t="s">
        <v>9</v>
      </c>
      <c r="B4" s="0" t="n">
        <v>1000</v>
      </c>
      <c r="D4" s="0" t="s">
        <v>9</v>
      </c>
      <c r="E4" s="1" t="n">
        <v>1</v>
      </c>
      <c r="F4" s="1" t="n">
        <v>0.5</v>
      </c>
      <c r="G4" s="1" t="n">
        <v>0.2</v>
      </c>
      <c r="H4" s="1" t="n">
        <v>0.05</v>
      </c>
      <c r="I4" s="1" t="n">
        <v>0</v>
      </c>
      <c r="K4" s="0" t="s">
        <v>9</v>
      </c>
      <c r="L4" s="2" t="n">
        <v>0.013</v>
      </c>
      <c r="M4" s="2" t="n">
        <v>0.014</v>
      </c>
      <c r="N4" s="2" t="n">
        <v>0.016</v>
      </c>
      <c r="O4" s="2" t="n">
        <v>0.017</v>
      </c>
      <c r="AD4" s="0" t="n">
        <f aca="false">SUMPRODUCT(N5:O5,L22:M22)</f>
        <v>3.22</v>
      </c>
    </row>
    <row r="5" customFormat="false" ht="12.75" hidden="false" customHeight="false" outlineLevel="0" collapsed="false">
      <c r="A5" s="0" t="s">
        <v>10</v>
      </c>
      <c r="B5" s="0" t="n">
        <v>1200</v>
      </c>
      <c r="D5" s="0" t="s">
        <v>10</v>
      </c>
      <c r="E5" s="1" t="n">
        <v>1</v>
      </c>
      <c r="F5" s="1" t="n">
        <v>0.5</v>
      </c>
      <c r="G5" s="1" t="n">
        <v>0.2</v>
      </c>
      <c r="H5" s="1" t="n">
        <v>0.05</v>
      </c>
      <c r="I5" s="1" t="n">
        <v>0</v>
      </c>
      <c r="K5" s="0" t="s">
        <v>10</v>
      </c>
      <c r="L5" s="2" t="n">
        <v>0.0136</v>
      </c>
      <c r="M5" s="2" t="n">
        <v>0.0146</v>
      </c>
      <c r="N5" s="2" t="n">
        <v>0.0166</v>
      </c>
      <c r="O5" s="2" t="n">
        <v>0.0177</v>
      </c>
      <c r="AA5" s="0" t="n">
        <f aca="false">SUMPRODUCT(Z13,F21)</f>
        <v>0.85</v>
      </c>
      <c r="AB5" s="3" t="n">
        <f aca="false">SUMPRODUCT(Y13,F21)</f>
        <v>0.8</v>
      </c>
      <c r="AD5" s="0" t="n">
        <f aca="false">SUMPRODUCT(Z13,F21)</f>
        <v>0.85</v>
      </c>
    </row>
    <row r="6" customFormat="false" ht="12.75" hidden="false" customHeight="false" outlineLevel="0" collapsed="false">
      <c r="A6" s="0" t="s">
        <v>11</v>
      </c>
      <c r="B6" s="0" t="n">
        <v>1350</v>
      </c>
      <c r="D6" s="0" t="s">
        <v>11</v>
      </c>
      <c r="E6" s="1" t="n">
        <v>1</v>
      </c>
      <c r="F6" s="1" t="n">
        <v>0.5</v>
      </c>
      <c r="G6" s="1" t="n">
        <v>0.2</v>
      </c>
      <c r="H6" s="1" t="n">
        <v>0.05</v>
      </c>
      <c r="I6" s="1" t="n">
        <v>0</v>
      </c>
      <c r="K6" s="0" t="s">
        <v>11</v>
      </c>
      <c r="L6" s="2" t="n">
        <v>0.0143</v>
      </c>
      <c r="M6" s="2" t="n">
        <v>0.0153</v>
      </c>
      <c r="N6" s="2" t="n">
        <v>0.0173</v>
      </c>
      <c r="O6" s="2" t="n">
        <v>0.0184</v>
      </c>
      <c r="AB6" s="0" t="n">
        <f aca="false">SUMPRODUCT(E21)</f>
        <v>150</v>
      </c>
      <c r="AD6" s="0" t="n">
        <f aca="false">SUMPRODUCT(F21)</f>
        <v>50</v>
      </c>
      <c r="AE6" s="0" t="s">
        <v>12</v>
      </c>
    </row>
    <row r="7" customFormat="false" ht="12.75" hidden="false" customHeight="false" outlineLevel="0" collapsed="false">
      <c r="A7" s="0" t="s">
        <v>13</v>
      </c>
      <c r="B7" s="0" t="n">
        <v>1250</v>
      </c>
      <c r="D7" s="0" t="s">
        <v>13</v>
      </c>
      <c r="E7" s="1" t="n">
        <v>1</v>
      </c>
      <c r="F7" s="1" t="n">
        <v>0.5</v>
      </c>
      <c r="G7" s="1" t="n">
        <v>0.2</v>
      </c>
      <c r="H7" s="1" t="n">
        <v>0.05</v>
      </c>
      <c r="I7" s="1" t="n">
        <v>0</v>
      </c>
      <c r="K7" s="0" t="s">
        <v>13</v>
      </c>
      <c r="L7" s="2" t="n">
        <v>0.0147</v>
      </c>
      <c r="M7" s="2" t="n">
        <v>0.0157</v>
      </c>
      <c r="N7" s="2" t="n">
        <v>0.0178</v>
      </c>
      <c r="O7" s="2" t="n">
        <v>0.0189</v>
      </c>
      <c r="AB7" s="0" t="n">
        <f aca="false">SUMPRODUCT(L22:M22)</f>
        <v>190</v>
      </c>
      <c r="AD7" s="0" t="n">
        <f aca="false">SUMPRODUCT(L22:M22)</f>
        <v>190</v>
      </c>
      <c r="AE7" s="0" t="s">
        <v>14</v>
      </c>
    </row>
    <row r="8" customFormat="false" ht="12.75" hidden="false" customHeight="false" outlineLevel="0" collapsed="false">
      <c r="A8" s="0" t="s">
        <v>15</v>
      </c>
      <c r="B8" s="0" t="n">
        <v>1380</v>
      </c>
      <c r="D8" s="0" t="s">
        <v>15</v>
      </c>
      <c r="E8" s="1" t="n">
        <v>1</v>
      </c>
      <c r="F8" s="1" t="n">
        <v>0.5</v>
      </c>
      <c r="G8" s="1" t="n">
        <v>0.2</v>
      </c>
      <c r="H8" s="1" t="n">
        <v>0.05</v>
      </c>
      <c r="I8" s="1" t="n">
        <v>0</v>
      </c>
      <c r="K8" s="0" t="s">
        <v>15</v>
      </c>
      <c r="L8" s="2" t="n">
        <v>0.015</v>
      </c>
      <c r="M8" s="2" t="n">
        <v>0.016</v>
      </c>
      <c r="N8" s="2" t="n">
        <v>0.0182</v>
      </c>
      <c r="O8" s="2" t="n">
        <v>0.0192</v>
      </c>
    </row>
    <row r="11" customFormat="false" ht="12.75" hidden="false" customHeight="false" outlineLevel="0" collapsed="false">
      <c r="B11" s="0" t="s">
        <v>16</v>
      </c>
      <c r="I11" s="0" t="s">
        <v>17</v>
      </c>
      <c r="P11" s="0" t="s">
        <v>18</v>
      </c>
      <c r="V11" s="0" t="s">
        <v>19</v>
      </c>
      <c r="AB11" s="0" t="s">
        <v>20</v>
      </c>
    </row>
    <row r="12" customFormat="false" ht="12.75" hidden="false" customHeight="false" outlineLevel="0" collapsed="false">
      <c r="B12" s="0" t="s">
        <v>4</v>
      </c>
      <c r="C12" s="0" t="s">
        <v>5</v>
      </c>
      <c r="D12" s="0" t="s">
        <v>6</v>
      </c>
      <c r="E12" s="0" t="s">
        <v>7</v>
      </c>
      <c r="F12" s="0" t="s">
        <v>8</v>
      </c>
      <c r="I12" s="0" t="s">
        <v>4</v>
      </c>
      <c r="J12" s="0" t="s">
        <v>5</v>
      </c>
      <c r="K12" s="0" t="s">
        <v>6</v>
      </c>
      <c r="L12" s="0" t="s">
        <v>7</v>
      </c>
      <c r="M12" s="0" t="s">
        <v>8</v>
      </c>
      <c r="P12" s="0" t="s">
        <v>4</v>
      </c>
      <c r="Q12" s="0" t="s">
        <v>5</v>
      </c>
      <c r="R12" s="0" t="s">
        <v>6</v>
      </c>
      <c r="S12" s="0" t="s">
        <v>7</v>
      </c>
      <c r="T12" s="0" t="s">
        <v>8</v>
      </c>
      <c r="V12" s="0" t="s">
        <v>4</v>
      </c>
      <c r="W12" s="4" t="s">
        <v>5</v>
      </c>
      <c r="X12" s="4" t="s">
        <v>6</v>
      </c>
      <c r="Y12" s="4" t="s">
        <v>7</v>
      </c>
      <c r="Z12" s="4" t="s">
        <v>8</v>
      </c>
      <c r="AB12" s="0" t="s">
        <v>4</v>
      </c>
      <c r="AC12" s="4" t="s">
        <v>5</v>
      </c>
      <c r="AD12" s="4" t="s">
        <v>6</v>
      </c>
      <c r="AE12" s="4" t="s">
        <v>7</v>
      </c>
      <c r="AF12" s="4" t="s">
        <v>8</v>
      </c>
    </row>
    <row r="13" customFormat="false" ht="12.75" hidden="false" customHeight="false" outlineLevel="0" collapsed="false">
      <c r="A13" s="0" t="s">
        <v>9</v>
      </c>
      <c r="B13" s="0" t="n">
        <f aca="false">$B4*E4</f>
        <v>1000</v>
      </c>
      <c r="C13" s="0" t="n">
        <f aca="false">$B4*F4</f>
        <v>500</v>
      </c>
      <c r="D13" s="0" t="n">
        <f aca="false">$B4*G4</f>
        <v>200</v>
      </c>
      <c r="E13" s="0" t="n">
        <f aca="false">$B4*H4</f>
        <v>50</v>
      </c>
      <c r="F13" s="0" t="n">
        <f aca="false">$B4*I4</f>
        <v>0</v>
      </c>
      <c r="H13" s="0" t="s">
        <v>9</v>
      </c>
      <c r="I13" s="0" t="n">
        <f aca="false">B13</f>
        <v>1000</v>
      </c>
      <c r="J13" s="0" t="n">
        <f aca="false">C13</f>
        <v>500</v>
      </c>
      <c r="K13" s="0" t="n">
        <f aca="false">D13</f>
        <v>200</v>
      </c>
      <c r="L13" s="0" t="n">
        <f aca="false">E13</f>
        <v>50</v>
      </c>
      <c r="M13" s="0" t="n">
        <f aca="false">F13</f>
        <v>0</v>
      </c>
      <c r="O13" s="0" t="s">
        <v>9</v>
      </c>
      <c r="P13" s="5" t="n">
        <f aca="false">SUMPRODUCT(L4:O4,J21:M21)/SUMPRODUCT(J21:M21)</f>
        <v>0.01395</v>
      </c>
      <c r="Q13" s="5" t="n">
        <f aca="false">SUMPRODUCT(M4:P4,K21:N21)/SUMPRODUCT(K21:N21)</f>
        <v>0.0149</v>
      </c>
      <c r="R13" s="5" t="n">
        <f aca="false">SUMPRODUCT(N4:Q4,L21:O21)/SUMPRODUCT(L21:O21)</f>
        <v>0.01625</v>
      </c>
      <c r="S13" s="5" t="n">
        <f aca="false">SUMPRODUCT(O4:R4,M21:P21)/SUMPRODUCT(M21:P21)</f>
        <v>0.0166137307598339</v>
      </c>
      <c r="V13" s="6" t="n">
        <v>0</v>
      </c>
      <c r="W13" s="5" t="n">
        <f aca="false">((AB13*(C21+D21+E21+F21))-(Z13*F21)-(Y13*E21)-(X13*D21))/C21</f>
        <v>0.013</v>
      </c>
      <c r="X13" s="5" t="n">
        <f aca="false">((AC13*(D21+E21+F21))-(Z13*F21)-(Y13*E21))/D21</f>
        <v>0.014</v>
      </c>
      <c r="Y13" s="5" t="n">
        <f aca="false">((AD13*(E21+F21))-(Z13*F21))/E21</f>
        <v>0.016</v>
      </c>
      <c r="Z13" s="7" t="n">
        <f aca="false">AE13</f>
        <v>0.017</v>
      </c>
      <c r="AA13" s="8" t="s">
        <v>9</v>
      </c>
      <c r="AB13" s="5" t="n">
        <f aca="false">(SUMPRODUCT(L4:O4,J21:M21))/(SUMPRODUCT(J21:M21))</f>
        <v>0.01395</v>
      </c>
      <c r="AC13" s="5" t="n">
        <f aca="false">(SUMPRODUCT(M4:O4,K21:M21))/(SUMPRODUCT(K21:M21))</f>
        <v>0.0149</v>
      </c>
      <c r="AD13" s="5" t="n">
        <f aca="false">(SUMPRODUCT(N4:O4,L21:M21))/(SUMPRODUCT(L21:M21))</f>
        <v>0.01625</v>
      </c>
      <c r="AE13" s="5" t="n">
        <f aca="false">(SUMPRODUCT(O4,M21))/(SUMPRODUCT(M21))</f>
        <v>0.017</v>
      </c>
      <c r="AF13" s="6" t="n">
        <v>0</v>
      </c>
    </row>
    <row r="14" customFormat="false" ht="12.75" hidden="false" customHeight="false" outlineLevel="0" collapsed="false">
      <c r="A14" s="0" t="s">
        <v>10</v>
      </c>
      <c r="B14" s="0" t="n">
        <f aca="false">$B5*E5</f>
        <v>1200</v>
      </c>
      <c r="C14" s="0" t="n">
        <f aca="false">$B5*F5</f>
        <v>600</v>
      </c>
      <c r="D14" s="0" t="n">
        <f aca="false">$B5*G5</f>
        <v>240</v>
      </c>
      <c r="E14" s="0" t="n">
        <f aca="false">$B5*H5</f>
        <v>60</v>
      </c>
      <c r="F14" s="0" t="n">
        <f aca="false">$B5*I5</f>
        <v>0</v>
      </c>
      <c r="H14" s="0" t="s">
        <v>10</v>
      </c>
      <c r="I14" s="0" t="n">
        <f aca="false">B14-J13</f>
        <v>700</v>
      </c>
      <c r="J14" s="0" t="n">
        <f aca="false">C14-K13</f>
        <v>400</v>
      </c>
      <c r="K14" s="9" t="n">
        <f aca="false">D14-L13</f>
        <v>190</v>
      </c>
      <c r="L14" s="0" t="n">
        <f aca="false">E14-M13</f>
        <v>60</v>
      </c>
      <c r="M14" s="0" t="n">
        <f aca="false">F14</f>
        <v>0</v>
      </c>
      <c r="O14" s="0" t="s">
        <v>10</v>
      </c>
      <c r="P14" s="5" t="n">
        <f aca="false">(SUMPRODUCT(L5:O5,J22:M22)+SUMPRODUCT(M4:O4,K21:M21))/(SUMPRODUCT(K21:M21)+SUMPRODUCT(J22:M22))</f>
        <v>0.0148466666666667</v>
      </c>
      <c r="Q14" s="5" t="n">
        <f aca="false">(SUMPRODUCT(M5:P5,K22:N22)+SUMPRODUCT(N4:P4,L21:N21))/(SUMPRODUCT(L21:N21)+SUMPRODUCT(K22:N22))</f>
        <v>0.0158933333333333</v>
      </c>
      <c r="R14" s="5" t="n">
        <f aca="false">(SUMPRODUCT(N5:Q5,L22:O22)+SUMPRODUCT(O4:Q4,M21:O21))/(SUMPRODUCT(M21:O21)+SUMPRODUCT(L22:O22))</f>
        <v>0.0169583333333333</v>
      </c>
      <c r="S14" s="5" t="n">
        <f aca="false">(SUMPRODUCT(O5:R5,M22:P22)+SUMPRODUCT(P4:R4,N21:P21))/(SUMPRODUCT(N21:P21)+SUMPRODUCT(M22:P22))</f>
        <v>0.016952083494066</v>
      </c>
      <c r="V14" s="6" t="n">
        <v>0</v>
      </c>
      <c r="W14" s="5" t="n">
        <f aca="false">((AB14*(C22+D22+E22+F22))-(Z14*F22)-(Y14*E22)-(X14*D22))/C22</f>
        <v>0.0138</v>
      </c>
      <c r="X14" s="5" t="n">
        <f aca="false">((AC14*(D22+E22+F22))-(Z14*F22)-(Y14*E22))/D22</f>
        <v>0.0151833333333333</v>
      </c>
      <c r="Y14" s="10" t="n">
        <f aca="false">((AD14*(E22+F22))-(Z14*F22))/E22</f>
        <v>0.0167111111111111</v>
      </c>
      <c r="Z14" s="7" t="n">
        <f aca="false">AE14</f>
        <v>0.0177</v>
      </c>
      <c r="AA14" s="8" t="s">
        <v>10</v>
      </c>
      <c r="AB14" s="5" t="n">
        <f aca="false">(SUMPRODUCT(L5:O5,J22:M22)+SUMPRODUCT(X13:Z13,D21:F21))/(SUMPRODUCT(D21:F21)+SUMPRODUCT(J22:M22))</f>
        <v>0.0148466666666667</v>
      </c>
      <c r="AC14" s="5" t="n">
        <f aca="false">(SUMPRODUCT(M5:O5,K22:M22)+SUMPRODUCT(Y13:Z13,E21:F21))/(SUMPRODUCT(E21:F21)+SUMPRODUCT(K22:M22))</f>
        <v>0.0158933333333333</v>
      </c>
      <c r="AD14" s="10" t="n">
        <f aca="false">(SUMPRODUCT(N5:O5,L22:M22)+SUMPRODUCT(Z13,F21))/(SUMPRODUCT(F21)+SUMPRODUCT(L22:M22))</f>
        <v>0.0169583333333333</v>
      </c>
      <c r="AE14" s="5" t="n">
        <f aca="false">(SUMPRODUCT(O5,M22))/(SUMPRODUCT(M22))</f>
        <v>0.0177</v>
      </c>
      <c r="AF14" s="6" t="n">
        <v>0</v>
      </c>
    </row>
    <row r="15" customFormat="false" ht="12.75" hidden="false" customHeight="false" outlineLevel="0" collapsed="false">
      <c r="A15" s="0" t="s">
        <v>11</v>
      </c>
      <c r="B15" s="0" t="n">
        <f aca="false">$B6*E6</f>
        <v>1350</v>
      </c>
      <c r="C15" s="0" t="n">
        <f aca="false">$B6*F6</f>
        <v>675</v>
      </c>
      <c r="D15" s="0" t="n">
        <f aca="false">$B6*G6</f>
        <v>270</v>
      </c>
      <c r="E15" s="0" t="n">
        <f aca="false">$B6*H6</f>
        <v>67.5</v>
      </c>
      <c r="F15" s="0" t="n">
        <f aca="false">$B6*I6</f>
        <v>0</v>
      </c>
      <c r="H15" s="0" t="s">
        <v>11</v>
      </c>
      <c r="I15" s="0" t="n">
        <f aca="false">B15-J14-K13</f>
        <v>750</v>
      </c>
      <c r="J15" s="0" t="n">
        <f aca="false">C15-K14-L13</f>
        <v>435</v>
      </c>
      <c r="K15" s="0" t="n">
        <f aca="false">D15-L14-M13</f>
        <v>210</v>
      </c>
      <c r="L15" s="0" t="n">
        <f aca="false">E15-M14</f>
        <v>67.5</v>
      </c>
      <c r="M15" s="0" t="n">
        <f aca="false">F15</f>
        <v>0</v>
      </c>
      <c r="O15" s="0" t="s">
        <v>11</v>
      </c>
      <c r="P15" s="5" t="n">
        <f aca="false">(SUMPRODUCT(L6:O6,J23:M23)+SUMPRODUCT(M5:O5,K22:M22)+SUMPRODUCT(N4:O4,L21:M21))/(SUMPRODUCT(K22:M22)+SUMPRODUCT(J23:M23)+SUMPRODUCT(L21:M21))</f>
        <v>0.0156964814814815</v>
      </c>
      <c r="Q15" s="5" t="n">
        <f aca="false">(SUMPRODUCT(M6:P6,K23:N23)+SUMPRODUCT(N5:P5,L22:N22)+SUMPRODUCT(O4:P4,M21:N21))/(SUMPRODUCT(L22:N22)+SUMPRODUCT(K23:N23)+SUMPRODUCT(M21:N21))</f>
        <v>0.0166218518518519</v>
      </c>
      <c r="R15" s="5" t="n">
        <f aca="false">(SUMPRODUCT(N6:Q6,L23:O23)+SUMPRODUCT(O5:Q5,M22:O22)+SUMPRODUCT(P4:Q4,N21:O21))/(SUMPRODUCT(M22:O22)+SUMPRODUCT(L23:O23)+SUMPRODUCT(N21:O21))</f>
        <v>0.0176638888888889</v>
      </c>
      <c r="S15" s="5" t="n">
        <f aca="false">(SUMPRODUCT(O6:R6,M23:P23)+SUMPRODUCT(P5:R5,N22:P22)+SUMPRODUCT(Q4:R4,O21:P21))/(SUMPRODUCT(N22:P22)+SUMPRODUCT(M23:P23)+SUMPRODUCT(O21:P21))</f>
        <v>0.0172708639632658</v>
      </c>
      <c r="V15" s="6" t="n">
        <v>0</v>
      </c>
      <c r="W15" s="5" t="n">
        <f aca="false">((AB15*(C23+D23+E23+F23))-(Z15*F23)-(Y15*E23)-(X15*D23))/C23</f>
        <v>0.0147711111111111</v>
      </c>
      <c r="X15" s="5" t="n">
        <f aca="false">((AC15*(D23+E23+F23))-(Z15*F23)-(Y15*E23))/D23</f>
        <v>0.0159271604938272</v>
      </c>
      <c r="Y15" s="5" t="n">
        <f aca="false">((AD15*(E23+F23))-(Z15*F23))/E23</f>
        <v>0.0174185185185185</v>
      </c>
      <c r="Z15" s="7" t="n">
        <f aca="false">AE15</f>
        <v>0.0184</v>
      </c>
      <c r="AA15" s="8" t="s">
        <v>11</v>
      </c>
      <c r="AB15" s="5" t="n">
        <f aca="false">(SUMPRODUCT(L6:O6,J23:M23)+SUMPRODUCT(X14:Z14,D22:F22))/(SUMPRODUCT(D22:F22)+SUMPRODUCT(J23:M23))</f>
        <v>0.0156964814814815</v>
      </c>
      <c r="AC15" s="5" t="n">
        <f aca="false">(SUMPRODUCT(M6:O6,K23:M23)+SUMPRODUCT(Y14:Z14,E22:F22))/(SUMPRODUCT(E22:F22)+SUMPRODUCT(K23:M23))</f>
        <v>0.0166218518518519</v>
      </c>
      <c r="AD15" s="5" t="n">
        <f aca="false">(SUMPRODUCT(N6:O6,L23:M23)+SUMPRODUCT(Z14,F22))/(SUMPRODUCT(F22)+SUMPRODUCT(L23:M23))</f>
        <v>0.0176638888888889</v>
      </c>
      <c r="AE15" s="5" t="n">
        <f aca="false">(SUMPRODUCT(O6,M23))/(SUMPRODUCT(M23))</f>
        <v>0.0184</v>
      </c>
      <c r="AF15" s="6" t="n">
        <v>0</v>
      </c>
    </row>
    <row r="16" customFormat="false" ht="12.75" hidden="false" customHeight="false" outlineLevel="0" collapsed="false">
      <c r="A16" s="0" t="s">
        <v>13</v>
      </c>
      <c r="B16" s="0" t="n">
        <v>1250</v>
      </c>
      <c r="C16" s="0" t="n">
        <f aca="false">$B7*F7</f>
        <v>625</v>
      </c>
      <c r="D16" s="0" t="n">
        <f aca="false">$B7*G7</f>
        <v>250</v>
      </c>
      <c r="E16" s="0" t="n">
        <f aca="false">$B7*H7</f>
        <v>62.5</v>
      </c>
      <c r="F16" s="0" t="n">
        <f aca="false">$B7*I7</f>
        <v>0</v>
      </c>
      <c r="H16" s="0" t="s">
        <v>13</v>
      </c>
      <c r="I16" s="0" t="n">
        <f aca="false">B16-J15-K14-L13</f>
        <v>575</v>
      </c>
      <c r="J16" s="0" t="n">
        <f aca="false">C16-K15-L14-M13</f>
        <v>355</v>
      </c>
      <c r="K16" s="11" t="n">
        <f aca="false">D16-L15-M14</f>
        <v>182.5</v>
      </c>
      <c r="L16" s="11" t="n">
        <f aca="false">E16-M15</f>
        <v>62.5</v>
      </c>
      <c r="M16" s="11" t="n">
        <f aca="false">F16</f>
        <v>0</v>
      </c>
      <c r="O16" s="0" t="s">
        <v>13</v>
      </c>
      <c r="P16" s="5" t="n">
        <f aca="false">(SUMPRODUCT(L7:O7,J24:M24)+SUMPRODUCT(M6:O6,K23:M23)+SUMPRODUCT(N5:O5,L22:M22)+SUMPRODUCT(M21,O4))/(SUMPRODUCT(K23:M23)+SUMPRODUCT(J24:M24)+SUMPRODUCT(L22:M22)+SUMPRODUCT(M21))</f>
        <v>0.0163834</v>
      </c>
      <c r="Q16" s="5" t="n">
        <f aca="false">(SUMPRODUCT(M7:P7,K24:N24)+SUMPRODUCT(N6:P6,L23:N23)+SUMPRODUCT(O5:P5,M22:N22)+SUMPRODUCT(N21,P4))/(SUMPRODUCT(L23:N23)+SUMPRODUCT(K24:N24)+SUMPRODUCT(M22:N22)+SUMPRODUCT(N21))</f>
        <v>0.0172716</v>
      </c>
      <c r="R16" s="5" t="n">
        <f aca="false">(SUMPRODUCT(N7:Q7,L24:O24)+SUMPRODUCT(O6:Q6,M23:O23)+SUMPRODUCT(P5:Q5,N22:O22)+SUMPRODUCT(O21,Q4))/(SUMPRODUCT(M23:O23)+SUMPRODUCT(L24:O24)+SUMPRODUCT(N22:O22)+SUMPRODUCT(O21))</f>
        <v>0.018237</v>
      </c>
      <c r="S16" s="5" t="n">
        <f aca="false">(SUMPRODUCT(O7:R7,M24:P24)+SUMPRODUCT(P6:R6,N23:P23)+SUMPRODUCT(Q5:R5,O22:P22)+SUMPRODUCT(P21,R4))/(SUMPRODUCT(N23:P23)+SUMPRODUCT(M24:P24)+SUMPRODUCT(O22:P22)+SUMPRODUCT(P21))</f>
        <v>0.0172144630635915</v>
      </c>
      <c r="V16" s="6" t="n">
        <v>0</v>
      </c>
      <c r="W16" s="5" t="n">
        <f aca="false">((AB16*(C24+D24+E24+F24))-(Z16*F24)-(Y16*E24)-(X16*D24))/C24</f>
        <v>0.0154952</v>
      </c>
      <c r="X16" s="5" t="n">
        <f aca="false">((AC16*(D24+E24+F24))-(Z16*F24)-(Y16*E24))/D24</f>
        <v>0.016628</v>
      </c>
      <c r="Y16" s="5" t="n">
        <f aca="false">((AD16*(E24+F24))-(Z16*F24))/E24</f>
        <v>0.018016</v>
      </c>
      <c r="Z16" s="7" t="n">
        <f aca="false">AE16</f>
        <v>0.0189</v>
      </c>
      <c r="AA16" s="8" t="s">
        <v>13</v>
      </c>
      <c r="AB16" s="5" t="n">
        <f aca="false">(SUMPRODUCT(L7:O7,J24:M24)+SUMPRODUCT(X15:Z15,D23:F23))/(SUMPRODUCT(D23:F23)+SUMPRODUCT(J24:M24))</f>
        <v>0.0163834</v>
      </c>
      <c r="AC16" s="5" t="n">
        <f aca="false">(SUMPRODUCT(M7:O7,K24:M24)+SUMPRODUCT(Y15:Z15,E23:F23))/(SUMPRODUCT(E23:F23)+SUMPRODUCT(K24:M24))</f>
        <v>0.0172716</v>
      </c>
      <c r="AD16" s="5" t="n">
        <f aca="false">(SUMPRODUCT(N7:O7,L24:M24)+SUMPRODUCT(Z15,F23))/(SUMPRODUCT(F23)+SUMPRODUCT(L24:M24))</f>
        <v>0.018237</v>
      </c>
      <c r="AE16" s="5" t="n">
        <f aca="false">(SUMPRODUCT(O7,M24))/(SUMPRODUCT(M24))</f>
        <v>0.0189</v>
      </c>
      <c r="AF16" s="6" t="n">
        <v>0</v>
      </c>
    </row>
    <row r="17" customFormat="false" ht="15" hidden="false" customHeight="true" outlineLevel="0" collapsed="false">
      <c r="A17" s="0" t="s">
        <v>15</v>
      </c>
      <c r="B17" s="0" t="n">
        <f aca="false">$B8*E8</f>
        <v>1380</v>
      </c>
      <c r="C17" s="0" t="n">
        <f aca="false">$B8*F8</f>
        <v>690</v>
      </c>
      <c r="D17" s="0" t="n">
        <f aca="false">$B8*G8</f>
        <v>276</v>
      </c>
      <c r="E17" s="0" t="n">
        <f aca="false">$B8*H8</f>
        <v>69</v>
      </c>
      <c r="F17" s="0" t="n">
        <f aca="false">$B8*I8</f>
        <v>0</v>
      </c>
      <c r="H17" s="0" t="s">
        <v>15</v>
      </c>
      <c r="I17" s="0" t="n">
        <f aca="false">B17-J16-K15-L14-M13</f>
        <v>755</v>
      </c>
      <c r="J17" s="11" t="n">
        <f aca="false">C17-K16-L15-M14-U13</f>
        <v>440</v>
      </c>
      <c r="K17" s="11" t="n">
        <f aca="false">D17-L16-M15</f>
        <v>213.5</v>
      </c>
      <c r="L17" s="11" t="n">
        <f aca="false">E17-M16</f>
        <v>69</v>
      </c>
      <c r="M17" s="11" t="n">
        <f aca="false">F17</f>
        <v>0</v>
      </c>
      <c r="O17" s="0" t="s">
        <v>15</v>
      </c>
      <c r="P17" s="5" t="n">
        <f aca="false">(SUMPRODUCT(L8:O8,J25:M25)+SUMPRODUCT(M7:O7,K24:M24)+SUMPRODUCT(N6:O6,L23:M23)+SUMPRODUCT(M22,O5))/(SUMPRODUCT(K24:M24)+SUMPRODUCT(J25:M25)+SUMPRODUCT(L23:M23)+SUMPRODUCT(M22))</f>
        <v>0.0167380072463768</v>
      </c>
      <c r="Q17" s="5" t="n">
        <f aca="false">(SUMPRODUCT(M8:P8,K25:N25)+SUMPRODUCT(N7:P7,L24:N24)+SUMPRODUCT(O6:P6,M23:N23)+SUMPRODUCT(N22,P5))/(SUMPRODUCT(L24:N24)+SUMPRODUCT(K25:N25)+SUMPRODUCT(M23:N23)+SUMPRODUCT(N22))</f>
        <v>0.017591231884058</v>
      </c>
      <c r="R17" s="5" t="n">
        <f aca="false">(SUMPRODUCT(N8:Q8,L25:O25)+SUMPRODUCT(O7:Q7,M24:O24)+SUMPRODUCT(P6:Q6,N23:O23)+SUMPRODUCT(O22,Q5))/(SUMPRODUCT(M24:O24)+SUMPRODUCT(L25:O25)+SUMPRODUCT(N23:O23)+SUMPRODUCT(O22))</f>
        <v>0.0186085144927536</v>
      </c>
      <c r="S17" s="5" t="n">
        <f aca="false">(SUMPRODUCT(O8:R8,M25:P25)+SUMPRODUCT(P7:R7,N24:P24)+SUMPRODUCT(Q6:R6,O23:P23)+SUMPRODUCT(P22,R5))/(SUMPRODUCT(N24:P24)+SUMPRODUCT(M25:P25)+SUMPRODUCT(O23:P23)+SUMPRODUCT(P22))</f>
        <v>0.0174586868130061</v>
      </c>
      <c r="V17" s="6" t="n">
        <v>0</v>
      </c>
      <c r="W17" s="5" t="n">
        <f aca="false">((AB17*(C25+D25+E25+F25))-(Z17*F25)-(Y17*E25)-(X17*D25))/C25</f>
        <v>0.0158847826086957</v>
      </c>
      <c r="X17" s="5" t="n">
        <f aca="false">((AC17*(D25+E25+F25))-(Z17*F25)-(Y17*E25))/D25</f>
        <v>0.0169130434782609</v>
      </c>
      <c r="Y17" s="5" t="n">
        <f aca="false">((AD17*(E25+F25))-(Z17*F25))/E25</f>
        <v>0.0184113526570048</v>
      </c>
      <c r="Z17" s="7" t="n">
        <f aca="false">AE17</f>
        <v>0.0192</v>
      </c>
      <c r="AA17" s="8" t="s">
        <v>15</v>
      </c>
      <c r="AB17" s="5" t="n">
        <f aca="false">(SUMPRODUCT(L8:O8,J25:M25)+SUMPRODUCT(X16:Z16,D24:F24))/(SUMPRODUCT(D24:F24)+SUMPRODUCT(J25:M25))</f>
        <v>0.0167380072463768</v>
      </c>
      <c r="AC17" s="5" t="n">
        <f aca="false">(SUMPRODUCT(M8:O8,K25:M25)+SUMPRODUCT(Y16:Z16,E24:F24))/(SUMPRODUCT(E24:F24)+SUMPRODUCT(K25:M25))</f>
        <v>0.017591231884058</v>
      </c>
      <c r="AD17" s="5" t="n">
        <f aca="false">(SUMPRODUCT(N8:O8,L25:M25)+SUMPRODUCT(Z16,F24))/(SUMPRODUCT(F24)+SUMPRODUCT(L25:M25))</f>
        <v>0.0186085144927536</v>
      </c>
      <c r="AE17" s="5" t="n">
        <f aca="false">(SUMPRODUCT(O8,M25))/(SUMPRODUCT(M25))</f>
        <v>0.0192</v>
      </c>
      <c r="AF17" s="6" t="n">
        <v>0</v>
      </c>
    </row>
    <row r="19" customFormat="false" ht="12.75" hidden="false" customHeight="false" outlineLevel="0" collapsed="false">
      <c r="B19" s="0" t="s">
        <v>21</v>
      </c>
      <c r="I19" s="0" t="s">
        <v>22</v>
      </c>
      <c r="P19" s="0" t="s">
        <v>23</v>
      </c>
      <c r="Y19" s="5" t="n">
        <f aca="false">AD14</f>
        <v>0.0169583333333333</v>
      </c>
    </row>
    <row r="20" customFormat="false" ht="12.75" hidden="false" customHeight="false" outlineLevel="0" collapsed="false">
      <c r="B20" s="0" t="s">
        <v>4</v>
      </c>
      <c r="C20" s="0" t="s">
        <v>5</v>
      </c>
      <c r="D20" s="0" t="s">
        <v>6</v>
      </c>
      <c r="E20" s="0" t="s">
        <v>7</v>
      </c>
      <c r="F20" s="0" t="s">
        <v>8</v>
      </c>
      <c r="I20" s="0" t="s">
        <v>4</v>
      </c>
      <c r="J20" s="0" t="s">
        <v>5</v>
      </c>
      <c r="K20" s="0" t="s">
        <v>6</v>
      </c>
      <c r="L20" s="0" t="s">
        <v>7</v>
      </c>
      <c r="M20" s="0" t="s">
        <v>8</v>
      </c>
      <c r="P20" s="0" t="s">
        <v>4</v>
      </c>
      <c r="Q20" s="0" t="s">
        <v>5</v>
      </c>
      <c r="R20" s="0" t="s">
        <v>6</v>
      </c>
      <c r="S20" s="0" t="s">
        <v>7</v>
      </c>
      <c r="T20" s="0" t="s">
        <v>8</v>
      </c>
      <c r="Y20" s="0" t="n">
        <f aca="false">E22+F22</f>
        <v>240</v>
      </c>
      <c r="AD20" s="0" t="s">
        <v>24</v>
      </c>
      <c r="AE20" s="0" t="s">
        <v>24</v>
      </c>
      <c r="AF20" s="0" t="s">
        <v>25</v>
      </c>
    </row>
    <row r="21" customFormat="false" ht="12.75" hidden="false" customHeight="false" outlineLevel="0" collapsed="false">
      <c r="A21" s="0" t="s">
        <v>9</v>
      </c>
      <c r="C21" s="0" t="n">
        <f aca="false">B13-C13</f>
        <v>500</v>
      </c>
      <c r="D21" s="0" t="n">
        <f aca="false">C13-D13</f>
        <v>300</v>
      </c>
      <c r="E21" s="0" t="n">
        <f aca="false">D13-E13</f>
        <v>150</v>
      </c>
      <c r="F21" s="0" t="n">
        <f aca="false">E13-F13</f>
        <v>50</v>
      </c>
      <c r="H21" s="0" t="s">
        <v>9</v>
      </c>
      <c r="J21" s="0" t="n">
        <f aca="false">I13-J13</f>
        <v>500</v>
      </c>
      <c r="K21" s="0" t="n">
        <f aca="false">J13-K13</f>
        <v>300</v>
      </c>
      <c r="L21" s="0" t="n">
        <f aca="false">K13-L13</f>
        <v>150</v>
      </c>
      <c r="M21" s="0" t="n">
        <f aca="false">L13-M13</f>
        <v>50</v>
      </c>
      <c r="O21" s="0" t="s">
        <v>9</v>
      </c>
      <c r="P21" s="12" t="n">
        <f aca="false">SUMPRODUCT(L4:O4,J21:M21)/12</f>
        <v>1.1625</v>
      </c>
      <c r="Q21" s="12" t="n">
        <f aca="false">SUMPRODUCT(M4:P4,K21:N21)/12</f>
        <v>0.620833333333333</v>
      </c>
      <c r="R21" s="12" t="n">
        <f aca="false">SUMPRODUCT(N4:Q4,L21:O21)/12</f>
        <v>0.270833333333333</v>
      </c>
      <c r="S21" s="12" t="n">
        <f aca="false">SUMPRODUCT(O4:R4,M21:P21)/12</f>
        <v>0.0708333333333334</v>
      </c>
      <c r="Y21" s="0" t="n">
        <f aca="false">-(Z14*F22)</f>
        <v>-1.062</v>
      </c>
      <c r="AD21" s="0" t="s">
        <v>26</v>
      </c>
      <c r="AE21" s="0" t="s">
        <v>27</v>
      </c>
    </row>
    <row r="22" customFormat="false" ht="12.75" hidden="false" customHeight="false" outlineLevel="0" collapsed="false">
      <c r="A22" s="0" t="s">
        <v>10</v>
      </c>
      <c r="C22" s="0" t="n">
        <f aca="false">B14-C14</f>
        <v>600</v>
      </c>
      <c r="D22" s="0" t="n">
        <f aca="false">C14-D14</f>
        <v>360</v>
      </c>
      <c r="E22" s="0" t="n">
        <f aca="false">D14-E14</f>
        <v>180</v>
      </c>
      <c r="F22" s="0" t="n">
        <f aca="false">E14-F14</f>
        <v>60</v>
      </c>
      <c r="H22" s="0" t="s">
        <v>10</v>
      </c>
      <c r="J22" s="0" t="n">
        <f aca="false">I14-J14</f>
        <v>300</v>
      </c>
      <c r="K22" s="0" t="n">
        <f aca="false">J14-K14</f>
        <v>210</v>
      </c>
      <c r="L22" s="0" t="n">
        <f aca="false">K14-L14</f>
        <v>130</v>
      </c>
      <c r="M22" s="0" t="n">
        <f aca="false">L14-M14</f>
        <v>60</v>
      </c>
      <c r="O22" s="0" t="s">
        <v>10</v>
      </c>
      <c r="P22" s="12" t="n">
        <f aca="false">(SUMPRODUCT(L5:O5,J22:M22)+SUMPRODUCT(M4:O4,K21:M21))/12</f>
        <v>1.48466666666667</v>
      </c>
      <c r="Q22" s="12" t="n">
        <f aca="false">(SUMPRODUCT(M5:P5,K22:N22)+SUMPRODUCT(N4:P4,L21:N21))/12</f>
        <v>0.794666666666667</v>
      </c>
      <c r="R22" s="12" t="n">
        <f aca="false">(SUMPRODUCT(N5:Q5,L22:O22)+SUMPRODUCT(O4:Q4,M21:O21))/12</f>
        <v>0.339166666666667</v>
      </c>
      <c r="S22" s="12" t="n">
        <f aca="false">(SUMPRODUCT(O5:R5,M22:P22)+SUMPRODUCT(P4:R4,N21:P21))/12</f>
        <v>0.0885</v>
      </c>
      <c r="Y22" s="0" t="n">
        <f aca="false">E22</f>
        <v>180</v>
      </c>
      <c r="AD22" s="0" t="n">
        <v>3</v>
      </c>
      <c r="AE22" s="0" t="n">
        <v>4</v>
      </c>
    </row>
    <row r="23" customFormat="false" ht="12.75" hidden="false" customHeight="false" outlineLevel="0" collapsed="false">
      <c r="A23" s="0" t="s">
        <v>11</v>
      </c>
      <c r="C23" s="0" t="n">
        <f aca="false">B15-C15</f>
        <v>675</v>
      </c>
      <c r="D23" s="0" t="n">
        <f aca="false">C15-D15</f>
        <v>405</v>
      </c>
      <c r="E23" s="0" t="n">
        <f aca="false">D15-E15</f>
        <v>202.5</v>
      </c>
      <c r="F23" s="0" t="n">
        <f aca="false">E15-F15</f>
        <v>67.5</v>
      </c>
      <c r="H23" s="0" t="s">
        <v>11</v>
      </c>
      <c r="J23" s="0" t="n">
        <f aca="false">I15-J15</f>
        <v>315</v>
      </c>
      <c r="K23" s="0" t="n">
        <f aca="false">J15-K15</f>
        <v>225</v>
      </c>
      <c r="L23" s="0" t="n">
        <f aca="false">K15-L15</f>
        <v>142.5</v>
      </c>
      <c r="M23" s="0" t="n">
        <f aca="false">L15-M15</f>
        <v>67.5</v>
      </c>
      <c r="O23" s="0" t="s">
        <v>11</v>
      </c>
      <c r="P23" s="12" t="n">
        <f aca="false">(SUMPRODUCT(L6:O6,J23:M23)+SUMPRODUCT(M5:O5,K22:M22)+SUMPRODUCT(N4:O4,L21:M21))/12</f>
        <v>1.76585416666667</v>
      </c>
      <c r="Q23" s="12" t="n">
        <f aca="false">(SUMPRODUCT(M6:P6,K23:N23)+SUMPRODUCT(N5:P5,L22:N22)+SUMPRODUCT(O4:P4,M21:N21))/12</f>
        <v>0.934979166666667</v>
      </c>
      <c r="R23" s="12" t="n">
        <f aca="false">(SUMPRODUCT(N6:Q6,L23:O23)+SUMPRODUCT(O5:Q5,M22:O22)+SUMPRODUCT(P4:Q4,N21:O21))/12</f>
        <v>0.3974375</v>
      </c>
      <c r="S23" s="12" t="n">
        <f aca="false">(SUMPRODUCT(O6:R6,M23:P23)+SUMPRODUCT(P5:R5,N22:P22)+SUMPRODUCT(Q4:R4,O21:P21))/12</f>
        <v>0.1035</v>
      </c>
      <c r="AD23" s="0" t="n">
        <v>2</v>
      </c>
      <c r="AE23" s="0" t="n">
        <v>3</v>
      </c>
    </row>
    <row r="24" customFormat="false" ht="12.75" hidden="false" customHeight="false" outlineLevel="0" collapsed="false">
      <c r="A24" s="0" t="s">
        <v>13</v>
      </c>
      <c r="C24" s="0" t="n">
        <f aca="false">B16-C16</f>
        <v>625</v>
      </c>
      <c r="D24" s="0" t="n">
        <f aca="false">C16-D16</f>
        <v>375</v>
      </c>
      <c r="E24" s="0" t="n">
        <f aca="false">D16-E16</f>
        <v>187.5</v>
      </c>
      <c r="F24" s="0" t="n">
        <f aca="false">E16-F16</f>
        <v>62.5</v>
      </c>
      <c r="H24" s="0" t="s">
        <v>13</v>
      </c>
      <c r="J24" s="0" t="n">
        <f aca="false">I16-J16</f>
        <v>220</v>
      </c>
      <c r="K24" s="0" t="n">
        <f aca="false">J16-K16</f>
        <v>172.5</v>
      </c>
      <c r="L24" s="0" t="n">
        <f aca="false">K16-L16</f>
        <v>120</v>
      </c>
      <c r="M24" s="0" t="n">
        <f aca="false">L16-M16</f>
        <v>62.5</v>
      </c>
      <c r="O24" s="0" t="s">
        <v>13</v>
      </c>
      <c r="P24" s="12" t="n">
        <f aca="false">(SUMPRODUCT(L7:O7,J24:M24)+SUMPRODUCT(M6:O6,K23:M23)+SUMPRODUCT(N5:O5,L22:M22)+SUMPRODUCT(M21,O4))/12</f>
        <v>1.70660416666667</v>
      </c>
      <c r="Q24" s="12" t="n">
        <f aca="false">(SUMPRODUCT(M7:P7,K24:N24)+SUMPRODUCT(N6:P6,L23:N23)+SUMPRODUCT(O5:P5,M22:N22)+SUMPRODUCT(N21,P4))/12</f>
        <v>0.8995625</v>
      </c>
      <c r="R24" s="12" t="n">
        <f aca="false">(SUMPRODUCT(N7:Q7,L24:O24)+SUMPRODUCT(O6:Q6,M23:O23)+SUMPRODUCT(P5:Q5,N22:O22)+SUMPRODUCT(O21,Q4))/12</f>
        <v>0.3799375</v>
      </c>
      <c r="S24" s="12" t="n">
        <f aca="false">(SUMPRODUCT(O7:R7,M24:P24)+SUMPRODUCT(P6:R6,N23:P23)+SUMPRODUCT(Q5:R5,O22:P22)+SUMPRODUCT(P21,R4))/12</f>
        <v>0.0984375</v>
      </c>
      <c r="AD24" s="0" t="n">
        <v>1</v>
      </c>
      <c r="AE24" s="0" t="n">
        <v>2</v>
      </c>
    </row>
    <row r="25" customFormat="false" ht="12.75" hidden="false" customHeight="false" outlineLevel="0" collapsed="false">
      <c r="A25" s="0" t="s">
        <v>15</v>
      </c>
      <c r="C25" s="0" t="n">
        <f aca="false">B17-C17</f>
        <v>690</v>
      </c>
      <c r="D25" s="0" t="n">
        <f aca="false">C17-D17</f>
        <v>414</v>
      </c>
      <c r="E25" s="0" t="n">
        <f aca="false">D17-E17</f>
        <v>207</v>
      </c>
      <c r="F25" s="0" t="n">
        <f aca="false">E17-F17</f>
        <v>69</v>
      </c>
      <c r="H25" s="0" t="s">
        <v>15</v>
      </c>
      <c r="J25" s="0" t="n">
        <f aca="false">I17-J17</f>
        <v>315</v>
      </c>
      <c r="K25" s="0" t="n">
        <f aca="false">J17-K17</f>
        <v>226.5</v>
      </c>
      <c r="L25" s="0" t="n">
        <f aca="false">K17-L17</f>
        <v>144.5</v>
      </c>
      <c r="M25" s="0" t="n">
        <f aca="false">L17-M17</f>
        <v>69</v>
      </c>
      <c r="O25" s="0" t="s">
        <v>15</v>
      </c>
      <c r="P25" s="12" t="n">
        <f aca="false">(SUMPRODUCT(L8:O8,J25:M25)+SUMPRODUCT(M7:O7,K24:M24)+SUMPRODUCT(N6:O6,L23:M23)+SUMPRODUCT(M22,O5))/12</f>
        <v>1.92487083333333</v>
      </c>
      <c r="Q25" s="12" t="n">
        <f aca="false">(SUMPRODUCT(M8:P8,K25:N25)+SUMPRODUCT(N7:P7,L24:N24)+SUMPRODUCT(O6:P6,M23:N23)+SUMPRODUCT(N22,P5))/12</f>
        <v>1.01149583333333</v>
      </c>
      <c r="R25" s="12" t="n">
        <f aca="false">(SUMPRODUCT(N8:Q8,L25:O25)+SUMPRODUCT(O7:Q7,M24:O24)+SUMPRODUCT(P6:Q6,N23:O23)+SUMPRODUCT(O22,Q5))/12</f>
        <v>0.427995833333333</v>
      </c>
      <c r="S25" s="12" t="n">
        <f aca="false">(SUMPRODUCT(O8:R8,M25:P25)+SUMPRODUCT(P7:R7,N24:P24)+SUMPRODUCT(Q6:R6,O23:P23)+SUMPRODUCT(P22,R5))/12</f>
        <v>0.1104</v>
      </c>
      <c r="AD25" s="0" t="n">
        <v>0</v>
      </c>
      <c r="AE25" s="0" t="n">
        <v>1</v>
      </c>
    </row>
    <row r="27" customFormat="false" ht="12.75" hidden="false" customHeight="false" outlineLevel="0" collapsed="false">
      <c r="B27" s="0" t="s">
        <v>4</v>
      </c>
      <c r="C27" s="0" t="s">
        <v>5</v>
      </c>
      <c r="D27" s="0" t="s">
        <v>6</v>
      </c>
      <c r="E27" s="0" t="s">
        <v>7</v>
      </c>
      <c r="F27" s="0" t="s">
        <v>8</v>
      </c>
      <c r="H27" s="0" t="s">
        <v>28</v>
      </c>
      <c r="I27" s="0" t="s">
        <v>4</v>
      </c>
      <c r="J27" s="4" t="s">
        <v>5</v>
      </c>
      <c r="K27" s="4" t="s">
        <v>6</v>
      </c>
      <c r="L27" s="4" t="s">
        <v>7</v>
      </c>
      <c r="M27" s="4" t="s">
        <v>8</v>
      </c>
    </row>
    <row r="28" customFormat="false" ht="12.75" hidden="false" customHeight="false" outlineLevel="0" collapsed="false">
      <c r="A28" s="0" t="s">
        <v>11</v>
      </c>
      <c r="B28" s="0" t="n">
        <f aca="false">B15</f>
        <v>1350</v>
      </c>
      <c r="C28" s="0" t="n">
        <f aca="false">C15</f>
        <v>675</v>
      </c>
      <c r="D28" s="0" t="n">
        <f aca="false">D15</f>
        <v>270</v>
      </c>
      <c r="E28" s="0" t="n">
        <f aca="false">E15</f>
        <v>67.5</v>
      </c>
      <c r="F28" s="0" t="n">
        <f aca="false">F15</f>
        <v>0</v>
      </c>
      <c r="H28" s="0" t="s">
        <v>11</v>
      </c>
      <c r="J28" s="13" t="n">
        <f aca="false">((C34*(C30+D30+E30+F30))-(M28*F30)-(L28*E30)-(K28*D30))/C30</f>
        <v>0.0147711111111111</v>
      </c>
      <c r="K28" s="13" t="n">
        <f aca="false">((D34*(D30+E30+F30))-(M28*F30)-(L28*E30))/D30</f>
        <v>0.0159271604938272</v>
      </c>
      <c r="L28" s="13" t="n">
        <f aca="false">((E34*(E30+F30))-(M28*F30))/E30</f>
        <v>0.0174185185185185</v>
      </c>
      <c r="M28" s="13" t="n">
        <f aca="false">((F34*(F30)))/F30</f>
        <v>0.0184</v>
      </c>
    </row>
    <row r="29" customFormat="false" ht="12.75" hidden="false" customHeight="false" outlineLevel="0" collapsed="false">
      <c r="B29" s="0" t="s">
        <v>4</v>
      </c>
      <c r="C29" s="0" t="s">
        <v>5</v>
      </c>
      <c r="D29" s="0" t="s">
        <v>6</v>
      </c>
      <c r="E29" s="0" t="s">
        <v>7</v>
      </c>
      <c r="F29" s="0" t="s">
        <v>8</v>
      </c>
      <c r="J29" s="11"/>
      <c r="K29" s="11"/>
      <c r="L29" s="11"/>
    </row>
    <row r="30" customFormat="false" ht="12.75" hidden="false" customHeight="false" outlineLevel="0" collapsed="false">
      <c r="A30" s="0" t="s">
        <v>11</v>
      </c>
      <c r="C30" s="0" t="n">
        <f aca="false">B28-C28</f>
        <v>675</v>
      </c>
      <c r="D30" s="0" t="n">
        <f aca="false">C28-D28</f>
        <v>405</v>
      </c>
      <c r="E30" s="0" t="n">
        <f aca="false">D28-E28</f>
        <v>202.5</v>
      </c>
      <c r="F30" s="0" t="n">
        <f aca="false">E28-F28</f>
        <v>67.5</v>
      </c>
    </row>
    <row r="31" customFormat="false" ht="12.75" hidden="false" customHeight="false" outlineLevel="0" collapsed="false">
      <c r="B31" s="0" t="s">
        <v>4</v>
      </c>
      <c r="C31" s="0" t="s">
        <v>5</v>
      </c>
      <c r="D31" s="0" t="s">
        <v>6</v>
      </c>
      <c r="E31" s="0" t="s">
        <v>7</v>
      </c>
      <c r="F31" s="0" t="s">
        <v>8</v>
      </c>
      <c r="H31" s="0" t="s">
        <v>29</v>
      </c>
      <c r="I31" s="0" t="s">
        <v>5</v>
      </c>
      <c r="J31" s="0" t="s">
        <v>6</v>
      </c>
      <c r="K31" s="0" t="s">
        <v>7</v>
      </c>
      <c r="L31" s="0" t="s">
        <v>8</v>
      </c>
    </row>
    <row r="32" customFormat="false" ht="12.75" hidden="false" customHeight="false" outlineLevel="0" collapsed="false">
      <c r="A32" s="0" t="s">
        <v>11</v>
      </c>
      <c r="B32" s="0" t="n">
        <f aca="false">B28/$B$28</f>
        <v>1</v>
      </c>
      <c r="C32" s="0" t="n">
        <f aca="false">C28/$B$28</f>
        <v>0.5</v>
      </c>
      <c r="D32" s="0" t="n">
        <f aca="false">D28/$B$28</f>
        <v>0.2</v>
      </c>
      <c r="E32" s="0" t="n">
        <f aca="false">E28/$B$28</f>
        <v>0.05</v>
      </c>
      <c r="F32" s="0" t="n">
        <f aca="false">F28/$B$28</f>
        <v>0</v>
      </c>
      <c r="H32" s="0" t="s">
        <v>13</v>
      </c>
      <c r="I32" s="14" t="n">
        <v>0.0147</v>
      </c>
      <c r="J32" s="14" t="n">
        <v>0.0157</v>
      </c>
      <c r="K32" s="14" t="n">
        <v>0.0178</v>
      </c>
      <c r="L32" s="14" t="n">
        <v>0.0189</v>
      </c>
    </row>
    <row r="33" customFormat="false" ht="12.75" hidden="false" customHeight="false" outlineLevel="0" collapsed="false">
      <c r="B33" s="0" t="s">
        <v>4</v>
      </c>
      <c r="C33" s="0" t="s">
        <v>5</v>
      </c>
      <c r="D33" s="0" t="s">
        <v>6</v>
      </c>
      <c r="E33" s="0" t="s">
        <v>7</v>
      </c>
      <c r="F33" s="0" t="s">
        <v>8</v>
      </c>
    </row>
    <row r="34" customFormat="false" ht="12.75" hidden="false" customHeight="false" outlineLevel="0" collapsed="false">
      <c r="A34" s="0" t="s">
        <v>11</v>
      </c>
      <c r="C34" s="5" t="n">
        <v>0.0156964814814815</v>
      </c>
      <c r="D34" s="5" t="n">
        <v>0.0166218518518519</v>
      </c>
      <c r="E34" s="5" t="n">
        <v>0.0176638888888889</v>
      </c>
      <c r="F34" s="5" t="n">
        <v>0.0184</v>
      </c>
    </row>
    <row r="37" customFormat="false" ht="12.75" hidden="false" customHeight="false" outlineLevel="0" collapsed="false">
      <c r="B37" s="0" t="s">
        <v>16</v>
      </c>
      <c r="I37" s="0" t="s">
        <v>30</v>
      </c>
    </row>
    <row r="38" customFormat="false" ht="12.75" hidden="false" customHeight="false" outlineLevel="0" collapsed="false">
      <c r="B38" s="0" t="s">
        <v>4</v>
      </c>
      <c r="C38" s="0" t="s">
        <v>5</v>
      </c>
      <c r="D38" s="0" t="s">
        <v>6</v>
      </c>
      <c r="E38" s="0" t="s">
        <v>7</v>
      </c>
      <c r="F38" s="0" t="s">
        <v>8</v>
      </c>
      <c r="I38" s="0" t="s">
        <v>4</v>
      </c>
      <c r="J38" s="0" t="s">
        <v>5</v>
      </c>
      <c r="K38" s="0" t="s">
        <v>6</v>
      </c>
      <c r="L38" s="0" t="s">
        <v>7</v>
      </c>
      <c r="M38" s="0" t="s">
        <v>8</v>
      </c>
    </row>
    <row r="39" customFormat="false" ht="12.75" hidden="false" customHeight="false" outlineLevel="0" collapsed="false">
      <c r="A39" s="0" t="s">
        <v>9</v>
      </c>
      <c r="B39" s="15" t="n">
        <f aca="false">$B4*E4</f>
        <v>1000</v>
      </c>
      <c r="C39" s="15" t="n">
        <f aca="false">$B4*F4</f>
        <v>500</v>
      </c>
      <c r="D39" s="15" t="n">
        <f aca="false">$B4*G4</f>
        <v>200</v>
      </c>
      <c r="E39" s="15" t="n">
        <f aca="false">$B4*H4</f>
        <v>50</v>
      </c>
      <c r="F39" s="15" t="n">
        <f aca="false">$B4*I4</f>
        <v>0</v>
      </c>
      <c r="H39" s="0" t="s">
        <v>9</v>
      </c>
      <c r="I39" s="16" t="n">
        <f aca="false">$B$4*E4</f>
        <v>1000</v>
      </c>
      <c r="J39" s="16" t="n">
        <f aca="false">$I39*F4</f>
        <v>500</v>
      </c>
      <c r="K39" s="16" t="n">
        <f aca="false">$I39*G4</f>
        <v>200</v>
      </c>
      <c r="L39" s="16" t="n">
        <f aca="false">$I39*H4</f>
        <v>50</v>
      </c>
      <c r="M39" s="16" t="n">
        <f aca="false">$I39*I4</f>
        <v>0</v>
      </c>
      <c r="P39" s="5" t="n">
        <f aca="false">SUMPRODUCT(L4:O4,J47:M47)/SUMPRODUCT(J47:M47)</f>
        <v>0.01395</v>
      </c>
      <c r="Q39" s="5" t="n">
        <f aca="false">SUMPRODUCT(M4:P4,K47:N47)/SUMPRODUCT(K47:N47)</f>
        <v>0.0149</v>
      </c>
      <c r="R39" s="5" t="n">
        <f aca="false">SUMPRODUCT(N4:Q4,L47:O47)/SUMPRODUCT(L47:O47)</f>
        <v>0.01625</v>
      </c>
      <c r="S39" s="5" t="n">
        <f aca="false">SUMPRODUCT(O4:R4,M47:P47)/SUMPRODUCT(M47:P47)</f>
        <v>0.017</v>
      </c>
      <c r="U39" s="5"/>
      <c r="V39" s="5"/>
      <c r="W39" s="5"/>
      <c r="X39" s="5"/>
    </row>
    <row r="40" customFormat="false" ht="12.75" hidden="false" customHeight="false" outlineLevel="0" collapsed="false">
      <c r="A40" s="0" t="s">
        <v>10</v>
      </c>
      <c r="B40" s="17" t="n">
        <f aca="false">I40+J39</f>
        <v>1200</v>
      </c>
      <c r="C40" s="17" t="n">
        <f aca="false">J40+K39</f>
        <v>550</v>
      </c>
      <c r="D40" s="17" t="n">
        <f aca="false">K40+L39</f>
        <v>190</v>
      </c>
      <c r="E40" s="17" t="n">
        <f aca="false">L40+M39</f>
        <v>35</v>
      </c>
      <c r="F40" s="17" t="n">
        <f aca="false">M40+N39</f>
        <v>0</v>
      </c>
      <c r="H40" s="0" t="s">
        <v>10</v>
      </c>
      <c r="I40" s="18" t="n">
        <f aca="false">MAX(B5-J39,0)</f>
        <v>700</v>
      </c>
      <c r="J40" s="16" t="n">
        <f aca="false">$I40*F5</f>
        <v>350</v>
      </c>
      <c r="K40" s="16" t="n">
        <f aca="false">$I40*G5</f>
        <v>140</v>
      </c>
      <c r="L40" s="16" t="n">
        <f aca="false">$I40*H5</f>
        <v>35</v>
      </c>
      <c r="M40" s="16" t="n">
        <f aca="false">$I40*I5</f>
        <v>0</v>
      </c>
      <c r="P40" s="5" t="n">
        <f aca="false">(SUMPRODUCT(L5:O5,J48:M48)+SUMPRODUCT(M4:O4,K47:M47))/(SUMPRODUCT(K47:M47)+SUMPRODUCT(J48:M48))</f>
        <v>0.01469875</v>
      </c>
      <c r="Q40" s="5" t="n">
        <f aca="false">(SUMPRODUCT(M5:P5,K48:N48)+SUMPRODUCT(N4:P4,L47:N47))/(SUMPRODUCT(L47:N47)+SUMPRODUCT(K48:N48))</f>
        <v>0.0157790909090909</v>
      </c>
      <c r="R40" s="5" t="n">
        <f aca="false">(SUMPRODUCT(N5:Q5,L48:O48)+SUMPRODUCT(O4:Q4,M47:O47))/(SUMPRODUCT(M47:O47)+SUMPRODUCT(L48:O48))</f>
        <v>0.0169078947368421</v>
      </c>
      <c r="S40" s="5" t="n">
        <f aca="false">(SUMPRODUCT(O5:R5,M48:P48)+SUMPRODUCT(P4:R4,N47:P47))/(SUMPRODUCT(N47:P47)+SUMPRODUCT(M48:P48))</f>
        <v>0.0177</v>
      </c>
      <c r="U40" s="5"/>
      <c r="V40" s="5"/>
      <c r="W40" s="5"/>
      <c r="X40" s="5"/>
    </row>
    <row r="41" customFormat="false" ht="12.75" hidden="false" customHeight="false" outlineLevel="0" collapsed="false">
      <c r="A41" s="0" t="s">
        <v>11</v>
      </c>
      <c r="B41" s="17" t="n">
        <f aca="false">I41+J40+K39</f>
        <v>1350</v>
      </c>
      <c r="C41" s="17" t="n">
        <f aca="false">J41+K40+L39</f>
        <v>590</v>
      </c>
      <c r="D41" s="17" t="n">
        <f aca="false">K41+L40+M39</f>
        <v>195</v>
      </c>
      <c r="E41" s="17" t="n">
        <f aca="false">L41+M40</f>
        <v>40</v>
      </c>
      <c r="F41" s="17" t="n">
        <f aca="false">M41+N40+O39</f>
        <v>0</v>
      </c>
      <c r="H41" s="0" t="s">
        <v>11</v>
      </c>
      <c r="I41" s="18" t="n">
        <f aca="false">MAX(B6-J40-K39,0)</f>
        <v>800</v>
      </c>
      <c r="J41" s="16" t="n">
        <f aca="false">$I41*F6</f>
        <v>400</v>
      </c>
      <c r="K41" s="16" t="n">
        <f aca="false">$I41*G6</f>
        <v>160</v>
      </c>
      <c r="L41" s="16" t="n">
        <f aca="false">$I41*H6</f>
        <v>40</v>
      </c>
      <c r="M41" s="16" t="n">
        <f aca="false">$I41*I6</f>
        <v>0</v>
      </c>
      <c r="P41" s="5" t="n">
        <f aca="false">(SUMPRODUCT(L6:O6,J49:M49)+SUMPRODUCT(M5:O5,K48:M48)+SUMPRODUCT(N4:O4,L47:M47))/(SUMPRODUCT(K48:M48)+SUMPRODUCT(J49:M49)+SUMPRODUCT(L47:M47))</f>
        <v>0.0154685185185185</v>
      </c>
      <c r="Q41" s="5" t="n">
        <f aca="false">(SUMPRODUCT(M6:P6,K49:N49)+SUMPRODUCT(N5:P5,L48:N48)+SUMPRODUCT(O4:P4,M47:N47))/(SUMPRODUCT(L48:N48)+SUMPRODUCT(K49:N49)+SUMPRODUCT(M47:N47))</f>
        <v>0.0164347457627119</v>
      </c>
      <c r="R41" s="5" t="n">
        <f aca="false">(SUMPRODUCT(N6:Q6,L49:O49)+SUMPRODUCT(O5:Q5,M48:O48)+SUMPRODUCT(P30:Q30,N47:O47))/(SUMPRODUCT(M48:O48)+SUMPRODUCT(L49:O49)+SUMPRODUCT(N47:O47))</f>
        <v>0.0175974358974359</v>
      </c>
      <c r="S41" s="5" t="n">
        <f aca="false">(SUMPRODUCT(O6:R6,M49:P49)+SUMPRODUCT(P31:R31,N48:P48)+SUMPRODUCT(Q30:R30,O47:P47))/(SUMPRODUCT(N48:P48)+SUMPRODUCT(M49:P49)+SUMPRODUCT(O47:P47))</f>
        <v>0.0184</v>
      </c>
      <c r="U41" s="5"/>
      <c r="V41" s="5"/>
      <c r="W41" s="5"/>
      <c r="X41" s="5"/>
    </row>
    <row r="42" customFormat="false" ht="12.75" hidden="false" customHeight="false" outlineLevel="0" collapsed="false">
      <c r="A42" s="0" t="s">
        <v>13</v>
      </c>
      <c r="B42" s="19" t="n">
        <f aca="false">I42+J41+K40+L39</f>
        <v>1250</v>
      </c>
      <c r="C42" s="19" t="n">
        <f aca="false">J42+K41+L40+M39</f>
        <v>525</v>
      </c>
      <c r="D42" s="19" t="n">
        <f aca="false">K42+L41+M40</f>
        <v>172</v>
      </c>
      <c r="E42" s="19" t="n">
        <f aca="false">L42+M41</f>
        <v>33</v>
      </c>
      <c r="F42" s="19" t="n">
        <f aca="false">M42+N41</f>
        <v>0</v>
      </c>
      <c r="H42" s="0" t="s">
        <v>13</v>
      </c>
      <c r="I42" s="18" t="n">
        <f aca="false">MAX(B7-J41-K40-L39,0)</f>
        <v>660</v>
      </c>
      <c r="J42" s="16" t="n">
        <f aca="false">$I42*F7</f>
        <v>330</v>
      </c>
      <c r="K42" s="16" t="n">
        <f aca="false">$I42*G7</f>
        <v>132</v>
      </c>
      <c r="L42" s="16" t="n">
        <f aca="false">$I42*H7</f>
        <v>33</v>
      </c>
      <c r="M42" s="16" t="n">
        <f aca="false">$I42*I7</f>
        <v>0</v>
      </c>
      <c r="O42" s="0" t="s">
        <v>31</v>
      </c>
      <c r="P42" s="5" t="n">
        <f aca="false">(SUMPRODUCT(L7:O7,J50:M50)+SUMPRODUCT(M6:O6,K49:M49)+SUMPRODUCT(N5:O5,L48:M48)+SUMPRODUCT(M47,O4))/(SUMPRODUCT(K49:M49)+SUMPRODUCT(J50:M50)+SUMPRODUCT(L48:M48)+SUMPRODUCT(M47))</f>
        <v>0.0160336</v>
      </c>
      <c r="Q42" s="5" t="n">
        <f aca="false">(SUMPRODUCT(M7:P7,K50:N50)+SUMPRODUCT(N6:P6,L49:N49)+SUMPRODUCT(O5:P5,M48:N48)+SUMPRODUCT(N47,P4))/(SUMPRODUCT(L49:N49)+SUMPRODUCT(K50:N50)+SUMPRODUCT(M48:N48)+SUMPRODUCT(N47))</f>
        <v>0.0170019047619048</v>
      </c>
      <c r="R42" s="5" t="n">
        <f aca="false">(SUMPRODUCT(N7:Q7,L50:O50)+SUMPRODUCT(O6:Q6,M49:O49)+SUMPRODUCT(P31:Q31,N48:O48)+SUMPRODUCT(O47,Q30))/(SUMPRODUCT(M49:O49)+SUMPRODUCT(L50:O50)+SUMPRODUCT(N48:O48)+SUMPRODUCT(O47))</f>
        <v>0.0181505813953488</v>
      </c>
      <c r="S42" s="5" t="n">
        <f aca="false">(SUMPRODUCT(O7:R7,M50:P50)+SUMPRODUCT(P32:R32,N49:P49)+SUMPRODUCT(Q31:R31,O48:P48)+SUMPRODUCT(P47,R30))/(SUMPRODUCT(N49:P49)+SUMPRODUCT(M50:P50)+SUMPRODUCT(O48:P48)+SUMPRODUCT(P47))</f>
        <v>0.0189</v>
      </c>
      <c r="U42" s="5"/>
      <c r="V42" s="5"/>
      <c r="W42" s="5"/>
      <c r="X42" s="5"/>
    </row>
    <row r="43" customFormat="false" ht="12.75" hidden="false" customHeight="false" outlineLevel="0" collapsed="false">
      <c r="A43" s="0" t="s">
        <v>15</v>
      </c>
      <c r="B43" s="17" t="n">
        <f aca="false">I43+J42+K41+L40+M39</f>
        <v>1380</v>
      </c>
      <c r="C43" s="17" t="n">
        <f aca="false">J43+K42+L41+M40</f>
        <v>599.5</v>
      </c>
      <c r="D43" s="17" t="n">
        <f aca="false">K43+L42+M41</f>
        <v>204</v>
      </c>
      <c r="E43" s="17" t="n">
        <f aca="false">L43+M42</f>
        <v>42.75</v>
      </c>
      <c r="F43" s="17" t="n">
        <f aca="false">M43</f>
        <v>0</v>
      </c>
      <c r="H43" s="0" t="s">
        <v>15</v>
      </c>
      <c r="I43" s="18" t="n">
        <f aca="false">MAX(B8-J42-K41-L40-M39,0)</f>
        <v>855</v>
      </c>
      <c r="J43" s="16" t="n">
        <f aca="false">$I43*F8</f>
        <v>427.5</v>
      </c>
      <c r="K43" s="16" t="n">
        <f aca="false">$I43*G8</f>
        <v>171</v>
      </c>
      <c r="L43" s="16" t="n">
        <f aca="false">$I43*H8</f>
        <v>42.75</v>
      </c>
      <c r="M43" s="16" t="n">
        <f aca="false">$I43*I8</f>
        <v>0</v>
      </c>
      <c r="P43" s="5" t="n">
        <f aca="false">(SUMPRODUCT(L8:O8,J51:M51)+SUMPRODUCT(M7:O7,K50:M50)+SUMPRODUCT(N6:O6,L49:M49)+SUMPRODUCT(M48,O5))/(SUMPRODUCT(K50:M50)+SUMPRODUCT(J51:M51)+SUMPRODUCT(L49:M49)+SUMPRODUCT(M48))</f>
        <v>0.0163749637681159</v>
      </c>
      <c r="Q43" s="5" t="n">
        <f aca="false">(SUMPRODUCT(M8:P8,K51:N51)+SUMPRODUCT(N7:P7,L50:N50)+SUMPRODUCT(O6:P6,M49:N49)+SUMPRODUCT(N48,P5))/(SUMPRODUCT(L50:N50)+SUMPRODUCT(K51:N51)+SUMPRODUCT(M49:N49)+SUMPRODUCT(N48))</f>
        <v>0.0173158465387823</v>
      </c>
      <c r="R43" s="5" t="n">
        <f aca="false">(SUMPRODUCT(N8:Q8,L51:O51)+SUMPRODUCT(O7:Q7,M50:O50)+SUMPRODUCT(P32:Q32,N49:O49)+SUMPRODUCT(O48,Q31))/(SUMPRODUCT(M50:O50)+SUMPRODUCT(L51:O51)+SUMPRODUCT(N49:O49)+SUMPRODUCT(O48))</f>
        <v>0.0185227941176471</v>
      </c>
      <c r="S43" s="5" t="n">
        <f aca="false">(SUMPRODUCT(O8:R8,M51:P51)+SUMPRODUCT(P33:R33,N50:P50)+SUMPRODUCT(Q32:R32,O49:P49)+SUMPRODUCT(P48,R31))/(SUMPRODUCT(N50:P50)+SUMPRODUCT(M51:P51)+SUMPRODUCT(O49:P49)+SUMPRODUCT(P48))</f>
        <v>0.0192</v>
      </c>
      <c r="U43" s="5"/>
      <c r="V43" s="5"/>
      <c r="W43" s="5"/>
      <c r="X43" s="5"/>
    </row>
    <row r="45" customFormat="false" ht="12.75" hidden="false" customHeight="false" outlineLevel="0" collapsed="false">
      <c r="B45" s="20" t="s">
        <v>21</v>
      </c>
      <c r="C45" s="20"/>
      <c r="D45" s="20"/>
      <c r="E45" s="20"/>
      <c r="F45" s="20"/>
      <c r="I45" s="0" t="s">
        <v>32</v>
      </c>
    </row>
    <row r="46" customFormat="false" ht="12.75" hidden="false" customHeight="false" outlineLevel="0" collapsed="false">
      <c r="B46" s="20" t="s">
        <v>4</v>
      </c>
      <c r="C46" s="20" t="s">
        <v>5</v>
      </c>
      <c r="D46" s="20" t="s">
        <v>6</v>
      </c>
      <c r="E46" s="20" t="s">
        <v>7</v>
      </c>
      <c r="F46" s="20" t="s">
        <v>8</v>
      </c>
      <c r="I46" s="0" t="s">
        <v>4</v>
      </c>
      <c r="J46" s="0" t="s">
        <v>5</v>
      </c>
      <c r="K46" s="0" t="s">
        <v>6</v>
      </c>
      <c r="L46" s="0" t="s">
        <v>7</v>
      </c>
      <c r="M46" s="0" t="s">
        <v>8</v>
      </c>
    </row>
    <row r="47" customFormat="false" ht="12.75" hidden="false" customHeight="false" outlineLevel="0" collapsed="false">
      <c r="A47" s="0" t="s">
        <v>9</v>
      </c>
      <c r="B47" s="20"/>
      <c r="C47" s="20" t="n">
        <f aca="false">B39-C39</f>
        <v>500</v>
      </c>
      <c r="D47" s="20" t="n">
        <f aca="false">C39-D39</f>
        <v>300</v>
      </c>
      <c r="E47" s="20" t="n">
        <f aca="false">D39-E39</f>
        <v>150</v>
      </c>
      <c r="F47" s="20" t="n">
        <f aca="false">E39-F39</f>
        <v>50</v>
      </c>
      <c r="H47" s="0" t="s">
        <v>9</v>
      </c>
      <c r="J47" s="0" t="n">
        <f aca="false">I39-J39</f>
        <v>500</v>
      </c>
      <c r="K47" s="0" t="n">
        <f aca="false">J39-K39</f>
        <v>300</v>
      </c>
      <c r="L47" s="0" t="n">
        <f aca="false">K39-L39</f>
        <v>150</v>
      </c>
      <c r="M47" s="0" t="n">
        <f aca="false">L39-M39</f>
        <v>50</v>
      </c>
    </row>
    <row r="48" customFormat="false" ht="12.75" hidden="false" customHeight="false" outlineLevel="0" collapsed="false">
      <c r="A48" s="0" t="s">
        <v>10</v>
      </c>
      <c r="B48" s="20"/>
      <c r="C48" s="20" t="n">
        <f aca="false">B40-C40</f>
        <v>650</v>
      </c>
      <c r="D48" s="20" t="n">
        <f aca="false">C40-D40</f>
        <v>360</v>
      </c>
      <c r="E48" s="20" t="n">
        <f aca="false">D40-E40</f>
        <v>155</v>
      </c>
      <c r="F48" s="20" t="n">
        <f aca="false">E40-F40</f>
        <v>35</v>
      </c>
      <c r="H48" s="0" t="s">
        <v>10</v>
      </c>
      <c r="J48" s="0" t="n">
        <f aca="false">I40-J40</f>
        <v>350</v>
      </c>
      <c r="K48" s="0" t="n">
        <f aca="false">J40-K40</f>
        <v>210</v>
      </c>
      <c r="L48" s="0" t="n">
        <f aca="false">K40-L40</f>
        <v>105</v>
      </c>
      <c r="M48" s="0" t="n">
        <f aca="false">L40-M40</f>
        <v>35</v>
      </c>
    </row>
    <row r="49" customFormat="false" ht="12.75" hidden="false" customHeight="false" outlineLevel="0" collapsed="false">
      <c r="A49" s="0" t="s">
        <v>11</v>
      </c>
      <c r="B49" s="20"/>
      <c r="C49" s="20" t="n">
        <f aca="false">B41-C41</f>
        <v>760</v>
      </c>
      <c r="D49" s="20" t="n">
        <f aca="false">C41-D41</f>
        <v>395</v>
      </c>
      <c r="E49" s="20" t="n">
        <f aca="false">D41-E41</f>
        <v>155</v>
      </c>
      <c r="F49" s="20" t="n">
        <f aca="false">E41-F41</f>
        <v>40</v>
      </c>
      <c r="H49" s="0" t="s">
        <v>11</v>
      </c>
      <c r="J49" s="0" t="n">
        <f aca="false">I41-J41</f>
        <v>400</v>
      </c>
      <c r="K49" s="0" t="n">
        <f aca="false">J41-K41</f>
        <v>240</v>
      </c>
      <c r="L49" s="0" t="n">
        <f aca="false">K41-L41</f>
        <v>120</v>
      </c>
      <c r="M49" s="0" t="n">
        <f aca="false">L41-M41</f>
        <v>40</v>
      </c>
    </row>
    <row r="50" customFormat="false" ht="12.75" hidden="false" customHeight="false" outlineLevel="0" collapsed="false">
      <c r="A50" s="0" t="s">
        <v>13</v>
      </c>
      <c r="B50" s="20"/>
      <c r="C50" s="20" t="n">
        <f aca="false">B42-C42</f>
        <v>725</v>
      </c>
      <c r="D50" s="20" t="n">
        <f aca="false">C42-D42</f>
        <v>353</v>
      </c>
      <c r="E50" s="20" t="n">
        <f aca="false">D42-E42</f>
        <v>139</v>
      </c>
      <c r="F50" s="20" t="n">
        <f aca="false">E42-F42</f>
        <v>33</v>
      </c>
      <c r="H50" s="0" t="s">
        <v>13</v>
      </c>
      <c r="J50" s="0" t="n">
        <f aca="false">I42-J42</f>
        <v>330</v>
      </c>
      <c r="K50" s="0" t="n">
        <f aca="false">J42-K42</f>
        <v>198</v>
      </c>
      <c r="L50" s="0" t="n">
        <f aca="false">K42-L42</f>
        <v>99</v>
      </c>
      <c r="M50" s="0" t="n">
        <f aca="false">L42-M42</f>
        <v>33</v>
      </c>
    </row>
    <row r="51" customFormat="false" ht="12.75" hidden="false" customHeight="false" outlineLevel="0" collapsed="false">
      <c r="A51" s="0" t="s">
        <v>15</v>
      </c>
      <c r="B51" s="20"/>
      <c r="C51" s="20" t="n">
        <f aca="false">B43-C43</f>
        <v>780.5</v>
      </c>
      <c r="D51" s="20" t="n">
        <f aca="false">C43-D43</f>
        <v>395.5</v>
      </c>
      <c r="E51" s="20" t="n">
        <f aca="false">D43-E43</f>
        <v>161.25</v>
      </c>
      <c r="F51" s="20" t="n">
        <f aca="false">E43-F43</f>
        <v>42.75</v>
      </c>
      <c r="H51" s="0" t="s">
        <v>15</v>
      </c>
      <c r="J51" s="0" t="n">
        <f aca="false">I43-J43</f>
        <v>427.5</v>
      </c>
      <c r="K51" s="0" t="n">
        <f aca="false">J43-K43</f>
        <v>256.5</v>
      </c>
      <c r="L51" s="0" t="n">
        <f aca="false">K43-L43</f>
        <v>128.25</v>
      </c>
      <c r="M51" s="0" t="n">
        <f aca="false">L43-M43</f>
        <v>42.75</v>
      </c>
    </row>
    <row r="53" customFormat="false" ht="12.75" hidden="false" customHeight="false" outlineLevel="0" collapsed="false">
      <c r="P53" s="21"/>
    </row>
    <row r="54" customFormat="false" ht="12.75" hidden="false" customHeight="false" outlineLevel="0" collapsed="false">
      <c r="P54" s="21" t="n">
        <f aca="false">SUMPRODUCT(L4:O4,J47:M47)/SUMPRODUCT(J47:M47)</f>
        <v>0.01395</v>
      </c>
    </row>
    <row r="55" customFormat="false" ht="12.75" hidden="false" customHeight="false" outlineLevel="0" collapsed="false">
      <c r="P55" s="21" t="n">
        <f aca="false">(SUMPRODUCT(L5:O5,J48:M48))/(SUMPRODUCT(J48:M48))</f>
        <v>0.014555</v>
      </c>
    </row>
    <row r="56" customFormat="false" ht="12.75" hidden="false" customHeight="false" outlineLevel="0" collapsed="false">
      <c r="B56" s="0" t="s">
        <v>33</v>
      </c>
      <c r="C56" s="0" t="s">
        <v>34</v>
      </c>
      <c r="D56" s="0" t="s">
        <v>35</v>
      </c>
      <c r="P56" s="21" t="n">
        <f aca="false">(SUMPRODUCT(L6:O6,J49:M49))/SUMPRODUCT(J49:M49)</f>
        <v>0.015255</v>
      </c>
    </row>
    <row r="57" customFormat="false" ht="12.75" hidden="false" customHeight="false" outlineLevel="0" collapsed="false">
      <c r="B57" s="0" t="s">
        <v>36</v>
      </c>
      <c r="C57" s="0" t="s">
        <v>37</v>
      </c>
      <c r="D57" s="0" t="s">
        <v>38</v>
      </c>
      <c r="P57" s="21" t="n">
        <f aca="false">(SUMPRODUCT(L7:O7,J50:M50))/(SUMPRODUCT(J50:M50))</f>
        <v>0.015675</v>
      </c>
    </row>
    <row r="58" customFormat="false" ht="12.75" hidden="false" customHeight="false" outlineLevel="0" collapsed="false">
      <c r="B58" s="0" t="s">
        <v>39</v>
      </c>
      <c r="C58" s="0" t="s">
        <v>40</v>
      </c>
      <c r="P58" s="22" t="n">
        <f aca="false">(SUMPRODUCT(L8:O8,J51:M51))/(SUMPRODUCT(J51:M51))</f>
        <v>0.01599</v>
      </c>
    </row>
    <row r="59" customFormat="false" ht="12.75" hidden="false" customHeight="false" outlineLevel="0" collapsed="false">
      <c r="P59" s="21"/>
    </row>
    <row r="60" customFormat="false" ht="12.75" hidden="false" customHeight="false" outlineLevel="0" collapsed="false">
      <c r="P60" s="21"/>
    </row>
    <row r="73" customFormat="false" ht="12.75" hidden="false" customHeight="false" outlineLevel="0" collapsed="false">
      <c r="P73" s="5"/>
      <c r="Q73" s="5"/>
      <c r="R73" s="5"/>
      <c r="S73" s="5"/>
    </row>
    <row r="74" customFormat="false" ht="12.75" hidden="false" customHeight="false" outlineLevel="0" collapsed="false">
      <c r="P74" s="5"/>
      <c r="Q74" s="5"/>
      <c r="R74" s="5"/>
      <c r="S74" s="5"/>
    </row>
    <row r="75" customFormat="false" ht="12.75" hidden="false" customHeight="false" outlineLevel="0" collapsed="false">
      <c r="P75" s="5"/>
      <c r="Q75" s="5"/>
      <c r="R75" s="5"/>
      <c r="S75" s="5"/>
    </row>
    <row r="76" customFormat="false" ht="12.75" hidden="false" customHeight="false" outlineLevel="0" collapsed="false">
      <c r="P76" s="5"/>
      <c r="Q76" s="5"/>
      <c r="R76" s="5"/>
      <c r="S76" s="5"/>
    </row>
    <row r="77" customFormat="false" ht="14.15" hidden="false" customHeight="true" outlineLevel="0" collapsed="false">
      <c r="P77" s="5"/>
      <c r="Q77" s="5"/>
      <c r="R77" s="5"/>
      <c r="S77" s="5"/>
    </row>
  </sheetData>
  <printOptions headings="false" gridLines="false" gridLinesSet="true" horizontalCentered="false" verticalCentered="false"/>
  <pageMargins left="0" right="0" top="0.39375" bottom="0.39375" header="0" footer="0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F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18" activeCellId="0" sqref="G18"/>
    </sheetView>
  </sheetViews>
  <sheetFormatPr defaultColWidth="8.6796875" defaultRowHeight="12.75" customHeight="true" zeroHeight="false" outlineLevelRow="0" outlineLevelCol="0"/>
  <cols>
    <col collapsed="false" customWidth="true" hidden="false" outlineLevel="0" max="8" min="8" style="0" width="16.43"/>
  </cols>
  <sheetData>
    <row r="1" customFormat="false" ht="12.75" hidden="false" customHeight="false" outlineLevel="0" collapsed="false">
      <c r="B1" s="0" t="s">
        <v>0</v>
      </c>
    </row>
    <row r="2" customFormat="false" ht="12.75" hidden="false" customHeight="false" outlineLevel="0" collapsed="false">
      <c r="B2" s="0" t="s">
        <v>1</v>
      </c>
      <c r="D2" s="0" t="s">
        <v>2</v>
      </c>
      <c r="K2" s="0" t="s">
        <v>3</v>
      </c>
    </row>
    <row r="3" customFormat="false" ht="12.75" hidden="false" customHeight="false" outlineLevel="0" collapsed="false">
      <c r="E3" s="0" t="s">
        <v>4</v>
      </c>
      <c r="F3" s="0" t="s">
        <v>5</v>
      </c>
      <c r="G3" s="0" t="s">
        <v>6</v>
      </c>
      <c r="H3" s="0" t="s">
        <v>7</v>
      </c>
      <c r="I3" s="0" t="s">
        <v>8</v>
      </c>
      <c r="L3" s="0" t="s">
        <v>5</v>
      </c>
      <c r="M3" s="0" t="s">
        <v>6</v>
      </c>
      <c r="N3" s="0" t="s">
        <v>7</v>
      </c>
      <c r="O3" s="0" t="s">
        <v>8</v>
      </c>
    </row>
    <row r="4" customFormat="false" ht="12.75" hidden="false" customHeight="false" outlineLevel="0" collapsed="false">
      <c r="A4" s="0" t="s">
        <v>9</v>
      </c>
      <c r="B4" s="0" t="n">
        <v>1000</v>
      </c>
      <c r="D4" s="0" t="s">
        <v>9</v>
      </c>
      <c r="E4" s="1" t="n">
        <v>1</v>
      </c>
      <c r="F4" s="1" t="n">
        <v>0.5</v>
      </c>
      <c r="G4" s="1" t="n">
        <v>0.2</v>
      </c>
      <c r="H4" s="1" t="n">
        <v>0.05</v>
      </c>
      <c r="I4" s="1" t="n">
        <v>0</v>
      </c>
      <c r="K4" s="0" t="s">
        <v>9</v>
      </c>
      <c r="L4" s="2" t="n">
        <v>0.013</v>
      </c>
      <c r="M4" s="2" t="n">
        <v>0.014</v>
      </c>
      <c r="N4" s="2" t="n">
        <v>0.016</v>
      </c>
      <c r="O4" s="2" t="n">
        <v>0.017</v>
      </c>
    </row>
    <row r="5" customFormat="false" ht="12.75" hidden="false" customHeight="false" outlineLevel="0" collapsed="false">
      <c r="A5" s="0" t="s">
        <v>10</v>
      </c>
      <c r="B5" s="0" t="n">
        <v>1200</v>
      </c>
      <c r="D5" s="0" t="s">
        <v>10</v>
      </c>
      <c r="E5" s="1" t="n">
        <v>1</v>
      </c>
      <c r="F5" s="1" t="n">
        <v>0.5</v>
      </c>
      <c r="G5" s="1" t="n">
        <v>0.2</v>
      </c>
      <c r="H5" s="1" t="n">
        <v>0.05</v>
      </c>
      <c r="I5" s="1" t="n">
        <v>0</v>
      </c>
      <c r="K5" s="0" t="s">
        <v>10</v>
      </c>
      <c r="L5" s="2" t="n">
        <v>0.0136</v>
      </c>
      <c r="M5" s="2" t="n">
        <v>0.0146</v>
      </c>
      <c r="N5" s="2" t="n">
        <v>0.0166</v>
      </c>
      <c r="O5" s="2" t="n">
        <v>0.0177</v>
      </c>
    </row>
    <row r="6" customFormat="false" ht="12.75" hidden="false" customHeight="false" outlineLevel="0" collapsed="false">
      <c r="A6" s="0" t="s">
        <v>11</v>
      </c>
      <c r="B6" s="0" t="n">
        <v>1350</v>
      </c>
      <c r="D6" s="0" t="s">
        <v>11</v>
      </c>
      <c r="E6" s="1" t="n">
        <v>1</v>
      </c>
      <c r="F6" s="1" t="n">
        <v>0.5</v>
      </c>
      <c r="G6" s="1" t="n">
        <v>0.2</v>
      </c>
      <c r="H6" s="1" t="n">
        <v>0.05</v>
      </c>
      <c r="I6" s="1" t="n">
        <v>0</v>
      </c>
      <c r="K6" s="0" t="s">
        <v>11</v>
      </c>
      <c r="L6" s="2" t="n">
        <v>0.0143</v>
      </c>
      <c r="M6" s="2" t="n">
        <v>0.0153</v>
      </c>
      <c r="N6" s="2" t="n">
        <v>0.0173</v>
      </c>
      <c r="O6" s="2" t="n">
        <v>0.0184</v>
      </c>
    </row>
    <row r="7" customFormat="false" ht="12.75" hidden="false" customHeight="false" outlineLevel="0" collapsed="false">
      <c r="A7" s="0" t="s">
        <v>13</v>
      </c>
      <c r="B7" s="0" t="n">
        <v>1250</v>
      </c>
      <c r="D7" s="0" t="s">
        <v>13</v>
      </c>
      <c r="E7" s="1" t="n">
        <v>1</v>
      </c>
      <c r="F7" s="1" t="n">
        <v>0.5</v>
      </c>
      <c r="G7" s="1" t="n">
        <v>0.2</v>
      </c>
      <c r="H7" s="1" t="n">
        <v>0.05</v>
      </c>
      <c r="I7" s="1" t="n">
        <v>0</v>
      </c>
      <c r="K7" s="0" t="s">
        <v>13</v>
      </c>
      <c r="L7" s="2" t="n">
        <v>0.0147</v>
      </c>
      <c r="M7" s="2" t="n">
        <v>0.0157</v>
      </c>
      <c r="N7" s="2" t="n">
        <v>0.0178</v>
      </c>
      <c r="O7" s="2" t="n">
        <v>0.0189</v>
      </c>
    </row>
    <row r="8" customFormat="false" ht="12.75" hidden="false" customHeight="false" outlineLevel="0" collapsed="false">
      <c r="A8" s="0" t="s">
        <v>15</v>
      </c>
      <c r="B8" s="0" t="n">
        <v>1380</v>
      </c>
      <c r="D8" s="0" t="s">
        <v>15</v>
      </c>
      <c r="E8" s="1" t="n">
        <v>1</v>
      </c>
      <c r="F8" s="1" t="n">
        <v>0.5</v>
      </c>
      <c r="G8" s="1" t="n">
        <v>0.2</v>
      </c>
      <c r="H8" s="1" t="n">
        <v>0.05</v>
      </c>
      <c r="I8" s="1" t="n">
        <v>0</v>
      </c>
      <c r="K8" s="0" t="s">
        <v>15</v>
      </c>
      <c r="L8" s="2" t="n">
        <v>0.015</v>
      </c>
      <c r="M8" s="2" t="n">
        <v>0.016</v>
      </c>
      <c r="N8" s="2" t="n">
        <v>0.0182</v>
      </c>
      <c r="O8" s="2" t="n">
        <v>0.0192</v>
      </c>
    </row>
    <row r="11" customFormat="false" ht="12.75" hidden="false" customHeight="false" outlineLevel="0" collapsed="false">
      <c r="B11" s="0" t="s">
        <v>16</v>
      </c>
      <c r="I11" s="0" t="s">
        <v>17</v>
      </c>
      <c r="P11" s="0" t="s">
        <v>18</v>
      </c>
      <c r="V11" s="0" t="s">
        <v>19</v>
      </c>
      <c r="AB11" s="0" t="s">
        <v>20</v>
      </c>
    </row>
    <row r="12" customFormat="false" ht="12.75" hidden="false" customHeight="false" outlineLevel="0" collapsed="false">
      <c r="B12" s="0" t="s">
        <v>4</v>
      </c>
      <c r="C12" s="0" t="s">
        <v>5</v>
      </c>
      <c r="D12" s="0" t="s">
        <v>6</v>
      </c>
      <c r="E12" s="0" t="s">
        <v>7</v>
      </c>
      <c r="F12" s="0" t="s">
        <v>8</v>
      </c>
      <c r="I12" s="0" t="s">
        <v>4</v>
      </c>
      <c r="J12" s="0" t="s">
        <v>5</v>
      </c>
      <c r="K12" s="0" t="s">
        <v>6</v>
      </c>
      <c r="L12" s="0" t="s">
        <v>7</v>
      </c>
      <c r="M12" s="0" t="s">
        <v>8</v>
      </c>
      <c r="P12" s="0" t="s">
        <v>4</v>
      </c>
      <c r="Q12" s="0" t="s">
        <v>5</v>
      </c>
      <c r="R12" s="0" t="s">
        <v>6</v>
      </c>
      <c r="S12" s="0" t="s">
        <v>7</v>
      </c>
      <c r="T12" s="0" t="s">
        <v>8</v>
      </c>
      <c r="V12" s="0" t="s">
        <v>4</v>
      </c>
      <c r="W12" s="4" t="s">
        <v>5</v>
      </c>
      <c r="X12" s="4" t="s">
        <v>6</v>
      </c>
      <c r="Y12" s="4" t="s">
        <v>7</v>
      </c>
      <c r="Z12" s="4" t="s">
        <v>8</v>
      </c>
      <c r="AB12" s="0" t="s">
        <v>4</v>
      </c>
      <c r="AC12" s="4" t="s">
        <v>5</v>
      </c>
      <c r="AD12" s="4" t="s">
        <v>6</v>
      </c>
      <c r="AE12" s="4" t="s">
        <v>7</v>
      </c>
      <c r="AF12" s="4" t="s">
        <v>8</v>
      </c>
    </row>
    <row r="13" customFormat="false" ht="12.75" hidden="false" customHeight="false" outlineLevel="0" collapsed="false">
      <c r="A13" s="0" t="s">
        <v>9</v>
      </c>
      <c r="B13" s="0" t="n">
        <f aca="false">$B4*E4</f>
        <v>1000</v>
      </c>
      <c r="C13" s="0" t="n">
        <f aca="false">$B4*F4</f>
        <v>500</v>
      </c>
      <c r="D13" s="0" t="n">
        <f aca="false">$B4*G4</f>
        <v>200</v>
      </c>
      <c r="E13" s="0" t="n">
        <f aca="false">$B4*H4</f>
        <v>50</v>
      </c>
      <c r="F13" s="0" t="n">
        <f aca="false">$B4*I4</f>
        <v>0</v>
      </c>
      <c r="H13" s="0" t="s">
        <v>9</v>
      </c>
      <c r="I13" s="0" t="n">
        <f aca="false">B13</f>
        <v>1000</v>
      </c>
      <c r="J13" s="0" t="n">
        <f aca="false">C13</f>
        <v>500</v>
      </c>
      <c r="K13" s="0" t="n">
        <f aca="false">D13</f>
        <v>200</v>
      </c>
      <c r="L13" s="0" t="n">
        <f aca="false">E13</f>
        <v>50</v>
      </c>
      <c r="M13" s="0" t="n">
        <f aca="false">F13</f>
        <v>0</v>
      </c>
      <c r="O13" s="0" t="s">
        <v>9</v>
      </c>
      <c r="P13" s="5" t="s">
        <v>41</v>
      </c>
      <c r="Q13" s="5" t="e">
        <f aca="false">SUMPRODUCT(M4:P4,K21:N21)/SUMPRODUCT(K21:N21)</f>
        <v>#NAME?</v>
      </c>
      <c r="R13" s="5" t="e">
        <f aca="false">SUMPRODUCT(N4:Q4,L21:O21)/SUMPRODUCT(L21:O21)</f>
        <v>#NAME?</v>
      </c>
      <c r="S13" s="5" t="e">
        <f aca="false">SUMPRODUCT(O4:R4,M21:P21)/SUMPRODUCT(M21:P21)</f>
        <v>#NAME?</v>
      </c>
      <c r="V13" s="6" t="n">
        <v>0</v>
      </c>
      <c r="W13" s="5" t="e">
        <f aca="false">((AB13*(C21+D21+E21+F21))-(Z13*F21)-(Y13*E21)-(X13*D21))/C21</f>
        <v>#NAME?</v>
      </c>
      <c r="X13" s="5" t="e">
        <f aca="false">((AC13*(D21+E21+F21))-(Z13*F21)-(Y13*E21))/D21</f>
        <v>#NAME?</v>
      </c>
      <c r="Y13" s="5" t="e">
        <f aca="false">((AD13*(E21+F21))-(Z13*F21))/E21</f>
        <v>#NAME?</v>
      </c>
      <c r="Z13" s="7" t="e">
        <f aca="false">AE13</f>
        <v>#NAME?</v>
      </c>
      <c r="AA13" s="8" t="s">
        <v>9</v>
      </c>
      <c r="AB13" s="5" t="e">
        <f aca="false">(SUMPRODUCT(L4:O4,J21:M21))/(SUMPRODUCT(J21:M21))</f>
        <v>#NAME?</v>
      </c>
      <c r="AC13" s="5" t="e">
        <f aca="false">(SUMPRODUCT(M4:O4,K21:M21))/(SUMPRODUCT(K21:M21))</f>
        <v>#NAME?</v>
      </c>
      <c r="AD13" s="5" t="e">
        <f aca="false">(SUMPRODUCT(N4:O4,L21:M21))/(SUMPRODUCT(L21:M21))</f>
        <v>#NAME?</v>
      </c>
      <c r="AE13" s="5" t="e">
        <f aca="false">(SUMPRODUCT(O4,M21))/(SUMPRODUCT(M21))</f>
        <v>#NAME?</v>
      </c>
      <c r="AF13" s="6" t="n">
        <v>0</v>
      </c>
    </row>
    <row r="14" customFormat="false" ht="12.75" hidden="false" customHeight="false" outlineLevel="0" collapsed="false">
      <c r="A14" s="0" t="s">
        <v>10</v>
      </c>
      <c r="B14" s="0" t="n">
        <f aca="false">$B5*E5</f>
        <v>1200</v>
      </c>
      <c r="C14" s="0" t="n">
        <f aca="false">$B5*F5</f>
        <v>600</v>
      </c>
      <c r="D14" s="0" t="n">
        <f aca="false">$B5*G5</f>
        <v>240</v>
      </c>
      <c r="E14" s="0" t="n">
        <f aca="false">$B5*H5</f>
        <v>60</v>
      </c>
      <c r="F14" s="0" t="n">
        <f aca="false">$B5*I5</f>
        <v>0</v>
      </c>
      <c r="H14" s="0" t="s">
        <v>10</v>
      </c>
      <c r="I14" s="0" t="n">
        <f aca="false">B14-J13</f>
        <v>700</v>
      </c>
      <c r="J14" s="0" t="n">
        <f aca="false">C14-K13</f>
        <v>400</v>
      </c>
      <c r="K14" s="9" t="n">
        <f aca="false">D14-L13</f>
        <v>190</v>
      </c>
      <c r="L14" s="0" t="n">
        <f aca="false">E14-M13</f>
        <v>60</v>
      </c>
      <c r="M14" s="0" t="n">
        <f aca="false">F14</f>
        <v>0</v>
      </c>
      <c r="O14" s="0" t="s">
        <v>10</v>
      </c>
      <c r="P14" s="5" t="e">
        <f aca="false">(SUMPRODUCT(L5:O5,J22:M22)+SUMPRODUCT(M4:O4,K21:M21))/(SUMPRODUCT(K21:M21)+SUMPRODUCT(J22:M22))</f>
        <v>#NAME?</v>
      </c>
      <c r="Q14" s="5" t="e">
        <f aca="false">(SUMPRODUCT(M5:P5,K22:N22)+SUMPRODUCT(N4:P4,L21:N21))/(SUMPRODUCT(L21:N21)+SUMPRODUCT(K22:N22))</f>
        <v>#NAME?</v>
      </c>
      <c r="R14" s="5" t="e">
        <f aca="false">(SUMPRODUCT(N5:Q5,L22:O22)+SUMPRODUCT(O4:Q4,M21:O21))/(SUMPRODUCT(M21:O21)+SUMPRODUCT(L22:O22))</f>
        <v>#NAME?</v>
      </c>
      <c r="S14" s="5" t="e">
        <f aca="false">(SUMPRODUCT(O5:R5,M22:P22)+SUMPRODUCT(P4:R4,N21:P21))/(SUMPRODUCT(N21:P21)+SUMPRODUCT(M22:P22))</f>
        <v>#NAME?</v>
      </c>
      <c r="V14" s="6" t="n">
        <v>0</v>
      </c>
      <c r="W14" s="5" t="e">
        <f aca="false">((AB14*(C22+D22+E22+F22))-(Z14*F22)-(Y14*E22)-(X14*D22))/C22</f>
        <v>#NAME?</v>
      </c>
      <c r="X14" s="5" t="e">
        <f aca="false">((AC14*(D22+E22+F22))-(Z14*F22)-(Y14*E22))/D22</f>
        <v>#NAME?</v>
      </c>
      <c r="Y14" s="10" t="e">
        <f aca="false">((AD14*(E22+F22))-(Z14*F22))/E22</f>
        <v>#NAME?</v>
      </c>
      <c r="Z14" s="7" t="e">
        <f aca="false">AE14</f>
        <v>#NAME?</v>
      </c>
      <c r="AA14" s="8" t="s">
        <v>10</v>
      </c>
      <c r="AB14" s="5" t="e">
        <f aca="false">(SUMPRODUCT(L5:O5,J22:M22)+SUMPRODUCT(X13:Z13,D21:F21))/(SUMPRODUCT(D21:F21)+SUMPRODUCT(J22:M22))</f>
        <v>#NAME?</v>
      </c>
      <c r="AC14" s="5" t="e">
        <f aca="false">(SUMPRODUCT(M5:O5,K22:M22)+SUMPRODUCT(Y13:Z13,E21:F21))/(SUMPRODUCT(E21:F21)+SUMPRODUCT(K22:M22))</f>
        <v>#NAME?</v>
      </c>
      <c r="AD14" s="10" t="e">
        <f aca="false">(SUMPRODUCT(N5:O5,L22:M22)+SUMPRODUCT(Z13,F21))/(SUMPRODUCT(F21)+SUMPRODUCT(L22:M22))</f>
        <v>#NAME?</v>
      </c>
      <c r="AE14" s="5" t="e">
        <f aca="false">(SUMPRODUCT(O5,M22))/(SUMPRODUCT(M22))</f>
        <v>#NAME?</v>
      </c>
      <c r="AF14" s="6" t="n">
        <v>0</v>
      </c>
    </row>
    <row r="15" customFormat="false" ht="12.75" hidden="false" customHeight="false" outlineLevel="0" collapsed="false">
      <c r="A15" s="0" t="s">
        <v>11</v>
      </c>
      <c r="B15" s="0" t="n">
        <f aca="false">$B6*E6</f>
        <v>1350</v>
      </c>
      <c r="C15" s="0" t="n">
        <f aca="false">$B6*F6</f>
        <v>675</v>
      </c>
      <c r="D15" s="0" t="n">
        <f aca="false">$B6*G6</f>
        <v>270</v>
      </c>
      <c r="E15" s="0" t="n">
        <f aca="false">$B6*H6</f>
        <v>67.5</v>
      </c>
      <c r="F15" s="0" t="n">
        <f aca="false">$B6*I6</f>
        <v>0</v>
      </c>
      <c r="H15" s="0" t="s">
        <v>11</v>
      </c>
      <c r="I15" s="0" t="n">
        <f aca="false">B15-J14-K13</f>
        <v>750</v>
      </c>
      <c r="J15" s="0" t="n">
        <f aca="false">C15-K14-L13</f>
        <v>435</v>
      </c>
      <c r="K15" s="0" t="n">
        <f aca="false">D15-L14-M13</f>
        <v>210</v>
      </c>
      <c r="L15" s="0" t="n">
        <f aca="false">E15-M14</f>
        <v>67.5</v>
      </c>
      <c r="M15" s="0" t="n">
        <f aca="false">F15</f>
        <v>0</v>
      </c>
      <c r="O15" s="0" t="s">
        <v>11</v>
      </c>
      <c r="P15" s="5" t="e">
        <f aca="false">(SUMPRODUCT(L6:O6,J23:M23)+SUMPRODUCT(M5:O5,K22:M22)+SUMPRODUCT(N4:O4,L21:M21))/(SUMPRODUCT(K22:M22)+SUMPRODUCT(J23:M23)+SUMPRODUCT(L21:M21))</f>
        <v>#NAME?</v>
      </c>
      <c r="Q15" s="5" t="e">
        <f aca="false">(SUMPRODUCT(M6:P6,K23:N23)+SUMPRODUCT(N5:P5,L22:N22)+SUMPRODUCT(O4:P4,M21:N21))/(SUMPRODUCT(L22:N22)+SUMPRODUCT(K23:N23)+SUMPRODUCT(M21:N21))</f>
        <v>#NAME?</v>
      </c>
      <c r="R15" s="5" t="e">
        <f aca="false">(SUMPRODUCT(N6:Q6,L23:O23)+SUMPRODUCT(O5:Q5,M22:O22)+SUMPRODUCT(P4:Q4,N21:O21))/(SUMPRODUCT(M22:O22)+SUMPRODUCT(L23:O23)+SUMPRODUCT(N21:O21))</f>
        <v>#NAME?</v>
      </c>
      <c r="S15" s="5" t="e">
        <f aca="false">(SUMPRODUCT(O6:R6,M23:P23)+SUMPRODUCT(P5:R5,N22:P22)+SUMPRODUCT(Q4:R4,O21:P21))/(SUMPRODUCT(N22:P22)+SUMPRODUCT(M23:P23)+SUMPRODUCT(O21:P21))</f>
        <v>#NAME?</v>
      </c>
      <c r="V15" s="6" t="n">
        <v>0</v>
      </c>
      <c r="W15" s="5" t="e">
        <f aca="false">((AB15*(C23+D23+E23+F23))-(Z15*F23)-(Y15*E23)-(X15*D23))/C23</f>
        <v>#NAME?</v>
      </c>
      <c r="X15" s="5" t="e">
        <f aca="false">((AC15*(D23+E23+F23))-(Z15*F23)-(Y15*E23))/D23</f>
        <v>#NAME?</v>
      </c>
      <c r="Y15" s="5" t="e">
        <f aca="false">((AD15*(E23+F23))-(Z15*F23))/E23</f>
        <v>#NAME?</v>
      </c>
      <c r="Z15" s="7" t="e">
        <f aca="false">AE15</f>
        <v>#NAME?</v>
      </c>
      <c r="AA15" s="8" t="s">
        <v>11</v>
      </c>
      <c r="AB15" s="5" t="e">
        <f aca="false">(SUMPRODUCT(L6:O6,J23:M23)+SUMPRODUCT(X14:Z14,D22:F22))/(SUMPRODUCT(D22:F22)+SUMPRODUCT(J23:M23))</f>
        <v>#NAME?</v>
      </c>
      <c r="AC15" s="5" t="e">
        <f aca="false">(SUMPRODUCT(M6:O6,K23:M23)+SUMPRODUCT(Y14:Z14,E22:F22))/(SUMPRODUCT(E22:F22)+SUMPRODUCT(K23:M23))</f>
        <v>#NAME?</v>
      </c>
      <c r="AD15" s="5" t="e">
        <f aca="false">(SUMPRODUCT(N6:O6,L23:M23)+SUMPRODUCT(Z14,F22))/(SUMPRODUCT(F22)+SUMPRODUCT(L23:M23))</f>
        <v>#NAME?</v>
      </c>
      <c r="AE15" s="5" t="e">
        <f aca="false">(SUMPRODUCT(O6,M23))/(SUMPRODUCT(M23))</f>
        <v>#NAME?</v>
      </c>
      <c r="AF15" s="6" t="n">
        <v>0</v>
      </c>
    </row>
    <row r="16" customFormat="false" ht="12.75" hidden="false" customHeight="false" outlineLevel="0" collapsed="false">
      <c r="A16" s="0" t="s">
        <v>13</v>
      </c>
      <c r="B16" s="0" t="n">
        <v>1250</v>
      </c>
      <c r="C16" s="0" t="n">
        <f aca="false">$B7*F7</f>
        <v>625</v>
      </c>
      <c r="D16" s="0" t="n">
        <f aca="false">$B7*G7</f>
        <v>250</v>
      </c>
      <c r="E16" s="0" t="n">
        <f aca="false">$B7*H7</f>
        <v>62.5</v>
      </c>
      <c r="F16" s="0" t="n">
        <f aca="false">$B7*I7</f>
        <v>0</v>
      </c>
      <c r="H16" s="0" t="s">
        <v>13</v>
      </c>
      <c r="I16" s="0" t="n">
        <f aca="false">B16-J15-K14-L13</f>
        <v>575</v>
      </c>
      <c r="J16" s="0" t="n">
        <f aca="false">C16-K15-L14-M13</f>
        <v>355</v>
      </c>
      <c r="K16" s="11" t="n">
        <f aca="false">D16-L15-M14</f>
        <v>182.5</v>
      </c>
      <c r="L16" s="11" t="n">
        <f aca="false">E16-M15</f>
        <v>62.5</v>
      </c>
      <c r="M16" s="11" t="n">
        <f aca="false">F16</f>
        <v>0</v>
      </c>
      <c r="O16" s="0" t="s">
        <v>13</v>
      </c>
      <c r="P16" s="5" t="e">
        <f aca="false">(SUMPRODUCT(L7:O7,J24:M24)+SUMPRODUCT(M6:O6,K23:M23)+SUMPRODUCT(N5:O5,L22:M22)+SUMPRODUCT(M21,O4))/(SUMPRODUCT(K23:M23)+SUMPRODUCT(J24:M24)+SUMPRODUCT(L22:M22)+SUMPRODUCT(M21))</f>
        <v>#NAME?</v>
      </c>
      <c r="Q16" s="5" t="e">
        <f aca="false">(SUMPRODUCT(M7:P7,K24:N24)+SUMPRODUCT(N6:P6,L23:N23)+SUMPRODUCT(O5:P5,M22:N22)+SUMPRODUCT(N21,P4))/(SUMPRODUCT(L23:N23)+SUMPRODUCT(K24:N24)+SUMPRODUCT(M22:N22)+SUMPRODUCT(N21))</f>
        <v>#NAME?</v>
      </c>
      <c r="R16" s="5" t="e">
        <f aca="false">(SUMPRODUCT(N7:Q7,L24:O24)+SUMPRODUCT(O6:Q6,M23:O23)+SUMPRODUCT(P5:Q5,N22:O22)+SUMPRODUCT(O21,Q4))/(SUMPRODUCT(M23:O23)+SUMPRODUCT(L24:O24)+SUMPRODUCT(N22:O22)+SUMPRODUCT(O21))</f>
        <v>#NAME?</v>
      </c>
      <c r="S16" s="5" t="e">
        <f aca="false">(SUMPRODUCT(O7:R7,M24:P24)+SUMPRODUCT(P6:R6,N23:P23)+SUMPRODUCT(Q5:R5,O22:P22)+SUMPRODUCT(P21,R4))/(SUMPRODUCT(N23:P23)+SUMPRODUCT(M24:P24)+SUMPRODUCT(O22:P22)+SUMPRODUCT(P21))</f>
        <v>#NAME?</v>
      </c>
      <c r="V16" s="6" t="n">
        <v>0</v>
      </c>
      <c r="W16" s="5" t="e">
        <f aca="false">((AB16*(C24+D24+E24+F24))-(Z16*F24)-(Y16*E24)-(X16*D24))/C24</f>
        <v>#NAME?</v>
      </c>
      <c r="X16" s="5" t="e">
        <f aca="false">((AC16*(D24+E24+F24))-(Z16*F24)-(Y16*E24))/D24</f>
        <v>#NAME?</v>
      </c>
      <c r="Y16" s="5" t="e">
        <f aca="false">((AD16*(E24+F24))-(Z16*F24))/E24</f>
        <v>#NAME?</v>
      </c>
      <c r="Z16" s="7" t="e">
        <f aca="false">AE16</f>
        <v>#NAME?</v>
      </c>
      <c r="AA16" s="8" t="s">
        <v>13</v>
      </c>
      <c r="AB16" s="5" t="e">
        <f aca="false">(SUMPRODUCT(L7:O7,J24:M24)+SUMPRODUCT(X15:Z15,D23:F23))/(SUMPRODUCT(D23:F23)+SUMPRODUCT(J24:M24))</f>
        <v>#NAME?</v>
      </c>
      <c r="AC16" s="5" t="e">
        <f aca="false">(SUMPRODUCT(M7:O7,K24:M24)+SUMPRODUCT(Y15:Z15,E23:F23))/(SUMPRODUCT(E23:F23)+SUMPRODUCT(K24:M24))</f>
        <v>#NAME?</v>
      </c>
      <c r="AD16" s="5" t="e">
        <f aca="false">(SUMPRODUCT(N7:O7,L24:M24)+SUMPRODUCT(Z15,F23))/(SUMPRODUCT(F23)+SUMPRODUCT(L24:M24))</f>
        <v>#NAME?</v>
      </c>
      <c r="AE16" s="5" t="e">
        <f aca="false">(SUMPRODUCT(O7,M24))/(SUMPRODUCT(M24))</f>
        <v>#NAME?</v>
      </c>
      <c r="AF16" s="6" t="n">
        <v>0</v>
      </c>
    </row>
    <row r="17" customFormat="false" ht="12.75" hidden="false" customHeight="false" outlineLevel="0" collapsed="false">
      <c r="A17" s="0" t="s">
        <v>15</v>
      </c>
      <c r="B17" s="0" t="n">
        <f aca="false">$B8*E8</f>
        <v>1380</v>
      </c>
      <c r="C17" s="0" t="n">
        <f aca="false">$B8*F8</f>
        <v>690</v>
      </c>
      <c r="D17" s="0" t="n">
        <f aca="false">$B8*G8</f>
        <v>276</v>
      </c>
      <c r="E17" s="0" t="n">
        <f aca="false">$B8*H8</f>
        <v>69</v>
      </c>
      <c r="F17" s="0" t="n">
        <f aca="false">$B8*I8</f>
        <v>0</v>
      </c>
      <c r="H17" s="0" t="s">
        <v>15</v>
      </c>
      <c r="I17" s="0" t="n">
        <f aca="false">B17-J16-K15-L14-M13</f>
        <v>755</v>
      </c>
      <c r="J17" s="11" t="n">
        <f aca="false">C17-K16-L15-M14-U13</f>
        <v>440</v>
      </c>
      <c r="K17" s="11" t="n">
        <f aca="false">D17-L16-M15</f>
        <v>213.5</v>
      </c>
      <c r="L17" s="11" t="n">
        <f aca="false">E17-M16</f>
        <v>69</v>
      </c>
      <c r="M17" s="11" t="n">
        <f aca="false">F17</f>
        <v>0</v>
      </c>
      <c r="O17" s="0" t="s">
        <v>15</v>
      </c>
      <c r="P17" s="5" t="e">
        <f aca="false">(SUMPRODUCT(L8:O8,J25:M25)+SUMPRODUCT(M7:O7,K24:M24)+SUMPRODUCT(N6:O6,L23:M23)+SUMPRODUCT(M22,O5))/(SUMPRODUCT(K24:M24)+SUMPRODUCT(J25:M25)+SUMPRODUCT(L23:M23)+SUMPRODUCT(M22))</f>
        <v>#NAME?</v>
      </c>
      <c r="Q17" s="5" t="e">
        <f aca="false">(SUMPRODUCT(M8:P8,K25:N25)+SUMPRODUCT(N7:P7,L24:N24)+SUMPRODUCT(O6:P6,M23:N23)+SUMPRODUCT(N22,P5))/(SUMPRODUCT(L24:N24)+SUMPRODUCT(K25:N25)+SUMPRODUCT(M23:N23)+SUMPRODUCT(N22))</f>
        <v>#NAME?</v>
      </c>
      <c r="R17" s="5" t="e">
        <f aca="false">(SUMPRODUCT(N8:Q8,L25:O25)+SUMPRODUCT(O7:Q7,M24:O24)+SUMPRODUCT(P6:Q6,N23:O23)+SUMPRODUCT(O22,Q5))/(SUMPRODUCT(M24:O24)+SUMPRODUCT(L25:O25)+SUMPRODUCT(N23:O23)+SUMPRODUCT(O22))</f>
        <v>#NAME?</v>
      </c>
      <c r="S17" s="5" t="e">
        <f aca="false">(SUMPRODUCT(O8:R8,M25:P25)+SUMPRODUCT(P7:R7,N24:P24)+SUMPRODUCT(Q6:R6,O23:P23)+SUMPRODUCT(P22,R5))/(SUMPRODUCT(N24:P24)+SUMPRODUCT(M25:P25)+SUMPRODUCT(O23:P23)+SUMPRODUCT(P22))</f>
        <v>#DIV/0!</v>
      </c>
      <c r="V17" s="6" t="n">
        <v>0</v>
      </c>
      <c r="W17" s="5" t="e">
        <f aca="false">((AB17*(C25+D25+E25+F25))-(Z17*F25)-(Y17*E25)-(X17*D25))/C25</f>
        <v>#NAME?</v>
      </c>
      <c r="X17" s="5" t="e">
        <f aca="false">((AC17*(D25+E25+F25))-(Z17*F25)-(Y17*E25))/D25</f>
        <v>#NAME?</v>
      </c>
      <c r="Y17" s="5" t="e">
        <f aca="false">((AD17*(E25+F25))-(Z17*F25))/E25</f>
        <v>#NAME?</v>
      </c>
      <c r="Z17" s="7" t="e">
        <f aca="false">AE17</f>
        <v>#DIV/0!</v>
      </c>
      <c r="AA17" s="8" t="s">
        <v>15</v>
      </c>
      <c r="AB17" s="5" t="e">
        <f aca="false">(SUMPRODUCT(L8:O8,J25:M25)+SUMPRODUCT(X16:Z16,D24:F24))/(SUMPRODUCT(D24:F24)+SUMPRODUCT(J25:M25))</f>
        <v>#NAME?</v>
      </c>
      <c r="AC17" s="5" t="e">
        <f aca="false">(SUMPRODUCT(M8:O8,K25:M25)+SUMPRODUCT(Y16:Z16,E24:F24))/(SUMPRODUCT(E24:F24)+SUMPRODUCT(K25:M25))</f>
        <v>#NAME?</v>
      </c>
      <c r="AD17" s="5" t="e">
        <f aca="false">(SUMPRODUCT(N8:O8,L25:M25)+SUMPRODUCT(Z16,F24))/(SUMPRODUCT(F24)+SUMPRODUCT(L25:M25))</f>
        <v>#NAME?</v>
      </c>
      <c r="AE17" s="5" t="e">
        <f aca="false">(SUMPRODUCT(O8,M25))/(SUMPRODUCT(M25))</f>
        <v>#DIV/0!</v>
      </c>
      <c r="AF17" s="6" t="n">
        <v>0</v>
      </c>
    </row>
    <row r="20" customFormat="false" ht="12.75" hidden="false" customHeight="false" outlineLevel="0" collapsed="false">
      <c r="B20" s="0" t="e">
        <f aca="false" t="array" ref="B20:F24">_xll.ftp_stock_amort(B4:B8,E4:I8,L4:O8,0)</f>
        <v>#NAME?</v>
      </c>
      <c r="C20" s="0" t="e">
        <v>#NAME?</v>
      </c>
      <c r="D20" s="0" t="e">
        <v>#NAME?</v>
      </c>
      <c r="E20" s="0" t="e">
        <v>#NAME?</v>
      </c>
      <c r="F20" s="0" t="e">
        <v>#NAME?</v>
      </c>
      <c r="I20" s="0" t="e">
        <f aca="false" t="array" ref="I20:M24">_xll.ftp_stock_amort(B4:B8,E4:I8,L4:O8,1)</f>
        <v>#NAME?</v>
      </c>
      <c r="J20" s="0" t="e">
        <v>#NAME?</v>
      </c>
      <c r="K20" s="0" t="e">
        <v>#NAME?</v>
      </c>
      <c r="L20" s="0" t="e">
        <v>#NAME?</v>
      </c>
      <c r="M20" s="0" t="e">
        <v>#NAME?</v>
      </c>
    </row>
    <row r="21" customFormat="false" ht="12.75" hidden="false" customHeight="false" outlineLevel="0" collapsed="false">
      <c r="B21" s="0" t="e">
        <v>#NAME?</v>
      </c>
      <c r="C21" s="0" t="e">
        <v>#NAME?</v>
      </c>
      <c r="D21" s="0" t="e">
        <v>#NAME?</v>
      </c>
      <c r="E21" s="0" t="e">
        <v>#NAME?</v>
      </c>
      <c r="F21" s="0" t="e">
        <v>#NAME?</v>
      </c>
      <c r="I21" s="0" t="e">
        <v>#NAME?</v>
      </c>
      <c r="J21" s="0" t="e">
        <v>#NAME?</v>
      </c>
      <c r="K21" s="0" t="e">
        <v>#NAME?</v>
      </c>
      <c r="L21" s="0" t="e">
        <v>#NAME?</v>
      </c>
      <c r="M21" s="0" t="e">
        <v>#NAME?</v>
      </c>
    </row>
    <row r="22" customFormat="false" ht="12.75" hidden="false" customHeight="false" outlineLevel="0" collapsed="false">
      <c r="B22" s="0" t="e">
        <v>#NAME?</v>
      </c>
      <c r="C22" s="0" t="e">
        <v>#NAME?</v>
      </c>
      <c r="D22" s="0" t="e">
        <v>#NAME?</v>
      </c>
      <c r="E22" s="0" t="e">
        <v>#NAME?</v>
      </c>
      <c r="F22" s="0" t="e">
        <v>#NAME?</v>
      </c>
      <c r="I22" s="0" t="e">
        <v>#NAME?</v>
      </c>
      <c r="J22" s="0" t="e">
        <v>#NAME?</v>
      </c>
      <c r="K22" s="0" t="e">
        <v>#NAME?</v>
      </c>
      <c r="L22" s="0" t="e">
        <v>#NAME?</v>
      </c>
      <c r="M22" s="0" t="e">
        <v>#NAME?</v>
      </c>
    </row>
    <row r="23" customFormat="false" ht="12.75" hidden="false" customHeight="false" outlineLevel="0" collapsed="false">
      <c r="B23" s="0" t="e">
        <v>#NAME?</v>
      </c>
      <c r="C23" s="0" t="e">
        <v>#NAME?</v>
      </c>
      <c r="D23" s="0" t="e">
        <v>#NAME?</v>
      </c>
      <c r="E23" s="0" t="e">
        <v>#NAME?</v>
      </c>
      <c r="F23" s="0" t="e">
        <v>#NAME?</v>
      </c>
      <c r="I23" s="0" t="e">
        <v>#NAME?</v>
      </c>
      <c r="J23" s="0" t="e">
        <v>#NAME?</v>
      </c>
      <c r="K23" s="0" t="e">
        <v>#NAME?</v>
      </c>
      <c r="L23" s="0" t="e">
        <v>#NAME?</v>
      </c>
      <c r="M23" s="0" t="e">
        <v>#NAME?</v>
      </c>
    </row>
    <row r="24" customFormat="false" ht="12.75" hidden="false" customHeight="false" outlineLevel="0" collapsed="false">
      <c r="B24" s="0" t="e">
        <v>#NAME?</v>
      </c>
      <c r="C24" s="0" t="e">
        <v>#NAME?</v>
      </c>
      <c r="D24" s="0" t="e">
        <v>#NAME?</v>
      </c>
      <c r="E24" s="0" t="e">
        <v>#NAME?</v>
      </c>
      <c r="F24" s="0" t="e">
        <v>#NAME?</v>
      </c>
      <c r="I24" s="0" t="e">
        <v>#NAME?</v>
      </c>
      <c r="J24" s="0" t="e">
        <v>#NAME?</v>
      </c>
      <c r="K24" s="0" t="e">
        <v>#NAME?</v>
      </c>
      <c r="L24" s="0" t="e">
        <v>#NAME?</v>
      </c>
      <c r="M24" s="0" t="e">
        <v>#NAME?</v>
      </c>
    </row>
    <row r="27" customFormat="false" ht="12.75" hidden="false" customHeight="false" outlineLevel="0" collapsed="false">
      <c r="B27" s="0" t="s">
        <v>42</v>
      </c>
    </row>
    <row r="28" customFormat="false" ht="12.75" hidden="false" customHeight="false" outlineLevel="0" collapsed="false">
      <c r="H28" s="23" t="e">
        <f aca="false" t="array" ref="H28:L32">_xll.ftp_market_rate(B4:B8,E4:I8,L4:O8,0)</f>
        <v>#NAME?</v>
      </c>
      <c r="I28" s="23" t="e">
        <v>#NAME?</v>
      </c>
      <c r="J28" s="23" t="e">
        <v>#NAME?</v>
      </c>
      <c r="K28" s="23" t="e">
        <v>#NAME?</v>
      </c>
      <c r="L28" s="23" t="e">
        <v>#NAME?</v>
      </c>
      <c r="M28" s="23"/>
      <c r="N28" s="23"/>
      <c r="O28" s="23" t="e">
        <f aca="false" t="array" ref="O28:S32">_xll.ftp_market_rate(B4:B8,E4:I8,L4:O8,1)</f>
        <v>#NAME?</v>
      </c>
      <c r="P28" s="23" t="e">
        <v>#NAME?</v>
      </c>
      <c r="Q28" s="23" t="e">
        <v>#NAME?</v>
      </c>
      <c r="R28" s="23" t="e">
        <v>#NAME?</v>
      </c>
      <c r="S28" s="23" t="e">
        <v>#NAME?</v>
      </c>
    </row>
    <row r="29" customFormat="false" ht="12.75" hidden="false" customHeight="false" outlineLevel="0" collapsed="false">
      <c r="H29" s="23" t="e">
        <v>#NAME?</v>
      </c>
      <c r="I29" s="23" t="e">
        <v>#NAME?</v>
      </c>
      <c r="J29" s="23" t="e">
        <v>#NAME?</v>
      </c>
      <c r="K29" s="23" t="e">
        <v>#NAME?</v>
      </c>
      <c r="L29" s="23" t="e">
        <v>#NAME?</v>
      </c>
      <c r="M29" s="23"/>
      <c r="N29" s="23"/>
      <c r="O29" s="23" t="e">
        <v>#NAME?</v>
      </c>
      <c r="P29" s="23" t="e">
        <v>#NAME?</v>
      </c>
      <c r="Q29" s="23" t="e">
        <v>#NAME?</v>
      </c>
      <c r="R29" s="23" t="e">
        <v>#NAME?</v>
      </c>
      <c r="S29" s="23" t="e">
        <v>#NAME?</v>
      </c>
    </row>
    <row r="30" customFormat="false" ht="12.75" hidden="false" customHeight="false" outlineLevel="0" collapsed="false">
      <c r="H30" s="23" t="e">
        <v>#NAME?</v>
      </c>
      <c r="I30" s="23" t="e">
        <v>#NAME?</v>
      </c>
      <c r="J30" s="23" t="e">
        <v>#NAME?</v>
      </c>
      <c r="K30" s="23" t="e">
        <v>#NAME?</v>
      </c>
      <c r="L30" s="23" t="e">
        <v>#NAME?</v>
      </c>
      <c r="M30" s="23"/>
      <c r="N30" s="23"/>
      <c r="O30" s="23" t="e">
        <v>#NAME?</v>
      </c>
      <c r="P30" s="23" t="e">
        <v>#NAME?</v>
      </c>
      <c r="Q30" s="23" t="e">
        <v>#NAME?</v>
      </c>
      <c r="R30" s="23" t="e">
        <v>#NAME?</v>
      </c>
      <c r="S30" s="23" t="e">
        <v>#NAME?</v>
      </c>
    </row>
    <row r="31" customFormat="false" ht="12.75" hidden="false" customHeight="false" outlineLevel="0" collapsed="false">
      <c r="H31" s="23" t="e">
        <v>#NAME?</v>
      </c>
      <c r="I31" s="23" t="e">
        <v>#NAME?</v>
      </c>
      <c r="J31" s="23" t="e">
        <v>#NAME?</v>
      </c>
      <c r="K31" s="23" t="e">
        <v>#NAME?</v>
      </c>
      <c r="L31" s="23" t="e">
        <v>#NAME?</v>
      </c>
      <c r="M31" s="23"/>
      <c r="N31" s="23"/>
      <c r="O31" s="23" t="e">
        <v>#NAME?</v>
      </c>
      <c r="P31" s="23" t="e">
        <v>#NAME?</v>
      </c>
      <c r="Q31" s="23" t="e">
        <v>#NAME?</v>
      </c>
      <c r="R31" s="23" t="e">
        <v>#NAME?</v>
      </c>
      <c r="S31" s="23" t="e">
        <v>#NAME?</v>
      </c>
    </row>
    <row r="32" customFormat="false" ht="12.75" hidden="false" customHeight="false" outlineLevel="0" collapsed="false">
      <c r="H32" s="23" t="e">
        <v>#NAME?</v>
      </c>
      <c r="I32" s="23" t="e">
        <v>#NAME?</v>
      </c>
      <c r="J32" s="23" t="e">
        <v>#NAME?</v>
      </c>
      <c r="K32" s="23" t="e">
        <v>#NAME?</v>
      </c>
      <c r="L32" s="23" t="e">
        <v>#NAME?</v>
      </c>
      <c r="M32" s="23"/>
      <c r="N32" s="23"/>
      <c r="O32" s="23" t="e">
        <v>#NAME?</v>
      </c>
      <c r="P32" s="23" t="e">
        <v>#NAME?</v>
      </c>
      <c r="Q32" s="23" t="e">
        <v>#NAME?</v>
      </c>
      <c r="R32" s="23" t="e">
        <v>#NAME?</v>
      </c>
      <c r="S32" s="23" t="e">
        <v>#NAME?</v>
      </c>
    </row>
    <row r="33" customFormat="false" ht="12.75" hidden="false" customHeight="false" outlineLevel="0" collapsed="false"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</row>
    <row r="35" customFormat="false" ht="12.75" hidden="false" customHeight="false" outlineLevel="0" collapsed="false">
      <c r="G35" s="0" t="s">
        <v>43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5568</TotalTime>
  <Application>LibreOffice/25.2.3.2$Linux_X86_64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2025-04-02T21:59:57Z</dcterms:created>
  <dc:creator>CT CT</dc:creator>
  <dc:description/>
  <dc:language>en-US</dc:language>
  <cp:lastModifiedBy/>
  <dcterms:modified xsi:type="dcterms:W3CDTF">2026-04-13T17:02:57Z</dcterms:modified>
  <cp:revision>41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